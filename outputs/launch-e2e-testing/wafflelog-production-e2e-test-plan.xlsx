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68187cb39945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2E checklist" sheetId="1" r:id="R8e77943a2dd6491b"/>
    <x:sheet xmlns:r="http://schemas.openxmlformats.org/officeDocument/2006/relationships" name="Run log" sheetId="2" r:id="Rc41300c4858e446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dd mmm yyyy"/>
  </x:numFmts>
  <x:fonts count="9">
    <x:font>
      <x:sz val="11"/>
      <x:name val="Carlito"/>
    </x:font>
    <x:font>
      <x:b/>
      <x:sz val="16"/>
      <x:color rgb="FF323232"/>
      <x:name val="Arial"/>
    </x:font>
    <x:font>
      <x:i/>
      <x:sz val="10"/>
      <x:color rgb="FF646464"/>
      <x:name val="Arial"/>
    </x:font>
    <x:font>
      <x:b/>
      <x:sz val="10"/>
      <x:color rgb="FF323232"/>
      <x:name val="Arial"/>
    </x:font>
    <x:font>
      <x:i/>
      <x:sz val="10"/>
      <x:color rgb="FF323232"/>
      <x:name val="Arial"/>
    </x:font>
    <x:font>
      <x:sz val="10"/>
      <x:color rgb="FF323232"/>
      <x:name val="Arial"/>
    </x:font>
    <x:font>
      <x:b/>
      <x:sz val="10"/>
      <x:color rgb="FFFFFFFF"/>
      <x:name val="Arial"/>
    </x:font>
    <x:font>
      <x:b/>
      <x:sz val="10"/>
      <x:color rgb="FF52489C"/>
      <x:name val="Arial"/>
    </x:font>
    <x:font>
      <x:b/>
      <x:sz val="11"/>
      <x:color rgb="FF52489C"/>
      <x:name val="Arial"/>
    </x:font>
  </x:fonts>
  <x:fills count="12">
    <x:fill>
      <x:patternFill patternType="none"/>
    </x:fill>
    <x:fill>
      <x:patternFill patternType="gray125"/>
    </x:fill>
    <x:fill>
      <x:patternFill patternType="solid">
        <x:fgColor rgb="FF52489C"/>
      </x:patternFill>
    </x:fill>
    <x:fill>
      <x:patternFill patternType="solid">
        <x:fgColor rgb="FFF5F5F5"/>
      </x:patternFill>
    </x:fill>
    <x:fill>
      <x:patternFill patternType="solid">
        <x:fgColor rgb="FFFFB300"/>
      </x:patternFill>
    </x:fill>
    <x:fill>
      <x:patternFill patternType="solid">
        <x:fgColor rgb="FFFFFFFF"/>
      </x:patternFill>
    </x:fill>
    <x:fill>
      <x:patternFill patternType="solid">
        <x:fgColor rgb="FFEFEDF9"/>
      </x:patternFill>
    </x:fill>
    <x:fill>
      <x:patternFill patternType="solid">
        <x:fgColor rgb="FF52489C"/>
      </x:patternFill>
    </x:fill>
    <x:fill>
      <x:patternFill patternType="solid">
        <x:fgColor rgb="FFEFEDF9"/>
      </x:patternFill>
    </x:fill>
    <x:fill>
      <x:patternFill patternType="solid">
        <x:fgColor rgb="FFF5F5F5"/>
      </x:patternFill>
    </x:fill>
    <x:fill>
      <x:patternFill patternType="solid">
        <x:fgColor rgb="FFFFB300"/>
      </x:patternFill>
    </x:fill>
    <x:fill>
      <x:patternFill patternType="solid">
        <x:fgColor rgb="FFFFE08A"/>
      </x:patternFill>
    </x:fill>
  </x:fills>
  <x:borders count="13">
    <x:border>
      <x:left/>
      <x:right/>
      <x:top/>
      <x:bottom/>
      <x:diagonal/>
    </x:border>
    <x:border>
      <x:left style="thin">
        <x:color rgb="FFFFB300"/>
      </x:left>
      <x:right/>
      <x:top style="thin">
        <x:color rgb="FFFFB300"/>
      </x:top>
      <x:bottom style="thin">
        <x:color rgb="FFFFB300"/>
      </x:bottom>
      <x:diagonal/>
    </x:border>
    <x:border>
      <x:left/>
      <x:right/>
      <x:top style="thin">
        <x:color rgb="FFFFB300"/>
      </x:top>
      <x:bottom style="thin">
        <x:color rgb="FFFFB300"/>
      </x:bottom>
      <x:diagonal/>
    </x:border>
    <x:border>
      <x:left/>
      <x:right style="thin">
        <x:color rgb="FFFFB300"/>
      </x:right>
      <x:top style="thin">
        <x:color rgb="FFFFB300"/>
      </x:top>
      <x:bottom style="thin">
        <x:color rgb="FFFFB300"/>
      </x:bottom>
      <x:diagonal/>
    </x:border>
    <x:border>
      <x:left/>
      <x:right/>
      <x:top/>
      <x:bottom style="thin">
        <x:color rgb="FFDCDCDC"/>
      </x:bottom>
      <x:diagonal/>
    </x:border>
    <x:border>
      <x:left style="thin">
        <x:color rgb="FF52489C"/>
      </x:left>
      <x:right/>
      <x:top style="thin">
        <x:color rgb="FF52489C"/>
      </x:top>
      <x:bottom style="thin">
        <x:color rgb="FF52489C"/>
      </x:bottom>
      <x:diagonal/>
    </x:border>
    <x:border>
      <x:left/>
      <x:right/>
      <x:top style="thin">
        <x:color rgb="FF52489C"/>
      </x:top>
      <x:bottom style="thin">
        <x:color rgb="FF52489C"/>
      </x:bottom>
      <x:diagonal/>
    </x:border>
    <x:border>
      <x:left/>
      <x:right style="thin">
        <x:color rgb="FF52489C"/>
      </x:right>
      <x:top style="thin">
        <x:color rgb="FF52489C"/>
      </x:top>
      <x:bottom style="thin">
        <x:color rgb="FF52489C"/>
      </x:bottom>
      <x:diagonal/>
    </x:border>
    <x:border>
      <x:left style="thin">
        <x:color rgb="FFDCDCDC"/>
      </x:left>
      <x:right style="thin">
        <x:color rgb="FFDCDCDC"/>
      </x:right>
      <x:top style="thin">
        <x:color rgb="FFDCDCDC"/>
      </x:top>
      <x:bottom style="thin">
        <x:color rgb="FFDCDCDC"/>
      </x:bottom>
      <x:diagonal/>
    </x:border>
    <x:border>
      <x:left style="thin">
        <x:color rgb="FFFFB300"/>
      </x:left>
      <x:right/>
      <x:top/>
      <x:bottom style="thin">
        <x:color rgb="FFFFB300"/>
      </x:bottom>
      <x:diagonal/>
    </x:border>
    <x:border>
      <x:left/>
      <x:right/>
      <x:top/>
      <x:bottom style="thin">
        <x:color rgb="FFFFB300"/>
      </x:bottom>
      <x:diagonal/>
    </x:border>
    <x:border>
      <x:left/>
      <x:right style="thin">
        <x:color rgb="FFFFB300"/>
      </x:right>
      <x:top/>
      <x:bottom style="thin">
        <x:color rgb="FFFFB300"/>
      </x:bottom>
      <x:diagonal/>
    </x:border>
    <x:border>
      <x:left style="thin">
        <x:color rgb="FFFFB300"/>
      </x:left>
      <x:right style="thin">
        <x:color rgb="FFFFB300"/>
      </x:right>
      <x:top style="thin">
        <x:color rgb="FFFFB300"/>
      </x:top>
      <x:bottom style="thin">
        <x:color rgb="FFFFB300"/>
      </x:bottom>
      <x:diagonal/>
    </x:border>
  </x:borders>
  <x:cellStyleXfs count="1">
    <x:xf numFmtId="0" fontId="0" fillId="0" borderId="0"/>
  </x:cellStyleXfs>
  <x:cellXfs count="13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5" fillId="3" borderId="0" xfId="0" applyNumberFormat="1" applyFont="1" applyFill="1" applyBorder="1"/>
    <x:xf numFmtId="0" fontId="3" fillId="3" borderId="0" xfId="0" applyNumberFormat="1" applyFont="1" applyFill="1" applyBorder="1"/>
    <x:xf numFmtId="200" fontId="3" fillId="3" borderId="0" xfId="0" applyNumberFormat="1" applyFont="1" applyFill="1" applyBorder="1"/>
    <x:xf numFmtId="200" fontId="3" fillId="3" borderId="0" xfId="0" applyNumberFormat="1" applyFont="1" applyFill="1" applyBorder="1" applyAlignment="1">
      <x:alignment horizontal="center"/>
    </x:xf>
    <x:xf numFmtId="200" fontId="3" fillId="3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5" fillId="0" borderId="4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horizontal="center"/>
    </x:xf>
    <x:xf numFmtId="0" fontId="3" fillId="0" borderId="4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5" xfId="0" applyNumberFormat="1" applyFont="1" applyFill="1" applyBorder="1"/>
    <x:xf numFmtId="0" fontId="7" fillId="6" borderId="6" xfId="0" applyNumberFormat="1" applyFont="1" applyFill="1" applyBorder="1"/>
    <x:xf numFmtId="0" fontId="7" fillId="6" borderId="7" xfId="0" applyNumberFormat="1" applyFont="1" applyFill="1" applyBorder="1"/>
    <x:xf numFmtId="0" fontId="7" fillId="6" borderId="5" xfId="0" applyNumberFormat="1" applyFont="1" applyFill="1" applyBorder="1" applyAlignment="1">
      <x:alignment vertical="center"/>
    </x:xf>
    <x:xf numFmtId="0" fontId="7" fillId="6" borderId="6" xfId="0" applyNumberFormat="1" applyFont="1" applyFill="1" applyBorder="1" applyAlignment="1">
      <x:alignment vertical="center"/>
    </x:xf>
    <x:xf numFmtId="0" fontId="7" fillId="6" borderId="7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5" fillId="6" borderId="0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 applyAlignment="1">
      <x:alignment horizontal="center" vertical="center"/>
    </x:xf>
    <x:xf numFmtId="0" fontId="7" fillId="6" borderId="0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horizontal="center" vertical="center"/>
    </x:xf>
    <x:xf numFmtId="0" fontId="7" fillId="6" borderId="6" xfId="0" applyNumberFormat="1" applyFont="1" applyFill="1" applyBorder="1" applyAlignment="1">
      <x:alignment vertical="top" wrapText="1"/>
    </x:xf>
    <x:xf numFmtId="0" fontId="7" fillId="6" borderId="7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vertical="center" wrapText="1"/>
    </x:xf>
    <x:xf numFmtId="0" fontId="7" fillId="6" borderId="7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5" fillId="0" borderId="8" xfId="0" applyNumberFormat="1" applyFont="1" applyFill="1" applyBorder="1"/>
    <x:xf numFmtId="0" fontId="5" fillId="0" borderId="8" xfId="0" applyNumberFormat="1" applyFont="1" applyFill="1" applyBorder="1" applyAlignment="1">
      <x:alignment wrapText="1"/>
    </x:xf>
    <x:xf numFmtId="0" fontId="5" fillId="0" borderId="8" xfId="0" applyNumberFormat="1" applyFont="1" applyFill="1" applyBorder="1" applyAlignment="1">
      <x:alignment vertical="top" wrapText="1"/>
    </x:xf>
    <x:xf numFmtId="201" fontId="5" fillId="0" borderId="8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0" fillId="2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center"/>
    </x:xf>
    <x:xf numFmtId="0" fontId="6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horizontal="center"/>
    </x:xf>
    <x:xf numFmtId="0" fontId="7" fillId="8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200" fontId="3" fillId="9" borderId="0" xfId="0" applyNumberFormat="1" applyFont="1" applyFill="1" applyBorder="1"/>
    <x:xf numFmtId="200" fontId="3" fillId="9" borderId="0" xfId="0" applyNumberFormat="1" applyFont="1" applyFill="1" applyBorder="1" applyAlignment="1">
      <x:alignment horizontal="center"/>
    </x:xf>
    <x:xf numFmtId="200" fontId="3" fillId="9" borderId="0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" xfId="0" applyNumberFormat="1" applyFont="1" applyFill="1" applyBorder="1"/>
    <x:xf numFmtId="0" fontId="3" fillId="10" borderId="2" xfId="0" applyNumberFormat="1" applyFont="1" applyFill="1" applyBorder="1"/>
    <x:xf numFmtId="0" fontId="3" fillId="10" borderId="3" xfId="0" applyNumberFormat="1" applyFont="1" applyFill="1" applyBorder="1"/>
    <x:xf numFmtId="0" fontId="3" fillId="10" borderId="1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wrapText="1"/>
    </x:xf>
    <x:xf numFmtId="0" fontId="3" fillId="10" borderId="3" xfId="0" applyNumberFormat="1" applyFont="1" applyFill="1" applyBorder="1" applyAlignment="1">
      <x:alignment wrapText="1"/>
    </x:xf>
    <x:xf numFmtId="0" fontId="3" fillId="10" borderId="1" xfId="0" applyNumberFormat="1" applyFont="1" applyFill="1" applyBorder="1" applyAlignment="1">
      <x:alignment horizontal="center" wrapText="1"/>
    </x:xf>
    <x:xf numFmtId="0" fontId="3" fillId="10" borderId="2" xfId="0" applyNumberFormat="1" applyFont="1" applyFill="1" applyBorder="1" applyAlignment="1">
      <x:alignment horizontal="center" wrapText="1"/>
    </x:xf>
    <x:xf numFmtId="0" fontId="3" fillId="10" borderId="3" xfId="0" applyNumberFormat="1" applyFont="1" applyFill="1" applyBorder="1" applyAlignment="1">
      <x:alignment horizontal="center" wrapText="1"/>
    </x:xf>
    <x:xf numFmtId="0" fontId="3" fillId="10" borderId="1" xfId="0" applyNumberFormat="1" applyFont="1" applyFill="1" applyBorder="1" applyAlignment="1">
      <x:alignment horizontal="center" vertical="center"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3" fillId="10" borderId="3" xfId="0" applyNumberFormat="1" applyFont="1" applyFill="1" applyBorder="1" applyAlignment="1">
      <x:alignment horizontal="center" vertical="center" wrapText="1"/>
    </x:xf>
    <x:xf numFmtId="0" fontId="3" fillId="10" borderId="9" xfId="0" applyNumberFormat="1" applyFont="1" applyFill="1" applyBorder="1"/>
    <x:xf numFmtId="0" fontId="3" fillId="10" borderId="10" xfId="0" applyNumberFormat="1" applyFont="1" applyFill="1" applyBorder="1"/>
    <x:xf numFmtId="0" fontId="3" fillId="10" borderId="11" xfId="0" applyNumberFormat="1" applyFont="1" applyFill="1" applyBorder="1"/>
    <x:xf numFmtId="0" fontId="3" fillId="10" borderId="9" xfId="0" applyNumberFormat="1" applyFont="1" applyFill="1" applyBorder="1" applyAlignment="1">
      <x:alignment wrapText="1"/>
    </x:xf>
    <x:xf numFmtId="0" fontId="3" fillId="10" borderId="10" xfId="0" applyNumberFormat="1" applyFont="1" applyFill="1" applyBorder="1" applyAlignment="1">
      <x:alignment wrapText="1"/>
    </x:xf>
    <x:xf numFmtId="0" fontId="3" fillId="10" borderId="11" xfId="0" applyNumberFormat="1" applyFont="1" applyFill="1" applyBorder="1" applyAlignment="1">
      <x:alignment wrapText="1"/>
    </x:xf>
    <x:xf numFmtId="0" fontId="3" fillId="10" borderId="9" xfId="0" applyNumberFormat="1" applyFont="1" applyFill="1" applyBorder="1" applyAlignment="1">
      <x:alignment horizontal="center" wrapText="1"/>
    </x:xf>
    <x:xf numFmtId="0" fontId="3" fillId="10" borderId="10" xfId="0" applyNumberFormat="1" applyFont="1" applyFill="1" applyBorder="1" applyAlignment="1">
      <x:alignment horizontal="center" wrapText="1"/>
    </x:xf>
    <x:xf numFmtId="0" fontId="3" fillId="10" borderId="11" xfId="0" applyNumberFormat="1" applyFont="1" applyFill="1" applyBorder="1" applyAlignment="1">
      <x:alignment horizontal="center" wrapText="1"/>
    </x:xf>
    <x:xf numFmtId="0" fontId="3" fillId="10" borderId="9" xfId="0" applyNumberFormat="1" applyFont="1" applyFill="1" applyBorder="1" applyAlignment="1">
      <x:alignment horizontal="center" vertical="center" wrapText="1"/>
    </x:xf>
    <x:xf numFmtId="0" fontId="3" fillId="10" borderId="10" xfId="0" applyNumberFormat="1" applyFont="1" applyFill="1" applyBorder="1" applyAlignment="1">
      <x:alignment horizontal="center" vertical="center" wrapText="1"/>
    </x:xf>
    <x:xf numFmtId="0" fontId="3" fillId="10" borderId="11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12" xfId="0" applyNumberFormat="1" applyFont="1" applyFill="1" applyBorder="1"/>
    <x:xf numFmtId="0" fontId="3" fillId="11" borderId="12" xfId="0" applyNumberFormat="1" applyFont="1" applyFill="1" applyBorder="1" applyAlignment="1">
      <x:alignment horizontal="center"/>
    </x:xf>
    <x:xf numFmtId="0" fontId="3" fillId="11" borderId="12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5" fillId="8" borderId="0" xfId="0" applyNumberFormat="1" applyFont="1" applyFill="1" applyBorder="1" applyAlignment="1">
      <x:alignment vertic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7" fillId="8" borderId="0" xfId="0" applyNumberFormat="1" applyFont="1" applyFill="1" applyBorder="1" applyAlignment="1">
      <x:alignment vertical="center" wrapText="1"/>
    </x:xf>
    <x:xf numFmtId="0" fontId="7" fillId="8" borderId="0" xfId="0" applyNumberFormat="1" applyFont="1" applyFill="1" applyBorder="1" applyAlignment="1">
      <x:alignment horizontal="center" vertical="center" wrapText="1"/>
    </x:xf>
    <x:xf numFmtId="0" fontId="7" fillId="8" borderId="6" xfId="0" applyNumberFormat="1" applyFont="1" applyFill="1" applyBorder="1" applyAlignment="1">
      <x:alignment vertical="center" wrapText="1"/>
    </x:xf>
    <x:xf numFmtId="0" fontId="7" fillId="8" borderId="6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7">
    <x:dxf>
      <x:font>
        <x:b/>
        <x:color rgb="FF2E7D5B"/>
      </x:font>
      <x:fill>
        <x:patternFill>
          <x:bgColor rgb="FFE4F3EC"/>
        </x:patternFill>
      </x:fill>
    </x:dxf>
    <x:dxf>
      <x:font>
        <x:b/>
        <x:color rgb="FFFE4A49"/>
      </x:font>
      <x:fill>
        <x:patternFill>
          <x:bgColor rgb="FFFDE8E8"/>
        </x:patternFill>
      </x:fill>
    </x:dxf>
    <x:dxf>
      <x:font>
        <x:b/>
        <x:color rgb="FFFF8000"/>
      </x:font>
      <x:fill>
        <x:patternFill>
          <x:bgColor rgb="FFFFF0DB"/>
        </x:patternFill>
      </x:fill>
    </x:dxf>
    <x:dxf>
      <x:font>
        <x:i/>
        <x:color rgb="FF646464"/>
      </x:font>
      <x:fill>
        <x:patternFill>
          <x:bgColor rgb="FFF5F5F5"/>
        </x:patternFill>
      </x:fill>
    </x:dxf>
    <x:dxf>
      <x:font>
        <x:b/>
        <x:color rgb="FFFE4A49"/>
      </x:font>
      <x:fill>
        <x:patternFill>
          <x:bgColor rgb="FFFDE8E8"/>
        </x:patternFill>
      </x:fill>
    </x:dxf>
    <x:dxf>
      <x:font>
        <x:b/>
        <x:color rgb="FF323232"/>
      </x:font>
      <x:fill>
        <x:patternFill>
          <x:bgColor rgb="FFFFF3CC"/>
        </x:patternFill>
      </x:fill>
    </x:dxf>
    <x:dxf>
      <x:font>
        <x:b/>
        <x:color rgb="FF646464"/>
      </x:font>
      <x:fill>
        <x:patternFill>
          <x:bgColor rgb="FFF5F5F5"/>
        </x:patternFill>
      </x:fill>
    </x:dxf>
    <x:dxf>
      <x:font>
        <x:b/>
        <x:color rgb="FF2E7D5B"/>
      </x:font>
      <x:fill>
        <x:patternFill>
          <x:bgColor rgb="FFE4F3EC"/>
        </x:patternFill>
      </x:fill>
    </x:dxf>
    <x:dxf>
      <x:font>
        <x:b/>
        <x:color rgb="FFFE4A49"/>
      </x:font>
      <x:fill>
        <x:patternFill>
          <x:bgColor rgb="FFFDE8E8"/>
        </x:patternFill>
      </x:fill>
    </x:dxf>
    <x:dxf>
      <x:font>
        <x:b/>
        <x:color rgb="FFFF8000"/>
      </x:font>
      <x:fill>
        <x:patternFill>
          <x:bgColor rgb="FFFFF0DB"/>
        </x:patternFill>
      </x:fill>
    </x:dxf>
    <x:dxf>
      <x:font>
        <x:b/>
        <x:color rgb="FF216E39"/>
      </x:font>
      <x:fill>
        <x:patternFill patternType="solid">
          <x:bgColor rgb="FFE7F4E8"/>
        </x:patternFill>
      </x:fill>
    </x:dxf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color rgb="FF666666"/>
      </x:font>
      <x:fill>
        <x:patternFill patternType="solid">
          <x:bgColor rgb="FFF2F2F2"/>
        </x:patternFill>
      </x:fill>
    </x:dxf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color rgb="FF666666"/>
      </x:font>
      <x:fill>
        <x:patternFill patternType="solid">
          <x:bgColor rgb="FFF2F2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1891b195ae491a" /><Relationship Type="http://schemas.openxmlformats.org/officeDocument/2006/relationships/theme" Target="/xl/theme/theme1.xml" Id="R60f19fb7b2d5430c" /><Relationship Type="http://schemas.openxmlformats.org/officeDocument/2006/relationships/sharedStrings" Target="/xl/sharedStrings.xml" Id="R3410c6a5c1134c75" /><Relationship Type="http://schemas.openxmlformats.org/officeDocument/2006/relationships/worksheet" Target="/xl/worksheets/sheet1.xml" Id="R8e77943a2dd6491b" /><Relationship Type="http://schemas.openxmlformats.org/officeDocument/2006/relationships/worksheet" Target="/xl/worksheets/sheet2.xml" Id="Rc41300c4858e446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2489C"/>
  </x:sheetPr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42.220001220703125" hidden="0" customWidth="1"/>
    <x:col min="2" max="2" width="38.33000183105469" hidden="0" customWidth="1"/>
    <x:col min="3" max="3" width="7.78000020980835" hidden="0" customWidth="1"/>
    <x:col min="4" max="4" width="16.670000076293945" hidden="0" customWidth="1"/>
    <x:col min="5" max="5" width="27.780000686645508" hidden="0" customWidth="1"/>
    <x:col min="6" max="6" width="14.5" hidden="0" customWidth="1"/>
    <x:col min="7" max="7" width="14.5" hidden="0" customWidth="1"/>
    <x:col min="8" max="8" width="14.5" hidden="0" customWidth="1"/>
    <x:col min="9" max="9" width="14.5" hidden="0" customWidth="1"/>
    <x:col min="10" max="10" width="14.5" hidden="0" customWidth="1"/>
    <x:col min="11" max="11" width="14.5" hidden="0" customWidth="1"/>
  </x:cols>
  <x:sheetData>
    <x:row r="2" ht="22.5" customHeight="1">
      <x:c r="A2" s="2" t="str">
        <x:v>Wafflelog production E2E test plan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5.5" customHeight="1">
      <x:c r="A3" s="73" t="str">
        <x:v>Enter Pass, Fail — reason, Blocked — reason or Not run in each iOS and Android testing-round subcolumn. Copy the final round pair when another release candidate is ready.</x:v>
      </x:c>
      <x:c r="B3" s="73"/>
      <x:c r="C3" s="73"/>
      <x:c r="D3" s="73"/>
      <x:c r="E3" s="73"/>
      <x:c r="F3" s="73"/>
      <x:c r="G3" s="73"/>
      <x:c r="H3" s="73"/>
      <x:c r="I3" s="73"/>
      <x:c r="J3" s="73"/>
      <x:c r="K3" s="73"/>
    </x:row>
    <x:row r="4">
      <x:c r="A4"/>
      <x:c r="B4"/>
      <x:c r="C4"/>
      <x:c r="D4"/>
      <x:c r="E4"/>
      <x:c r="F4" s="77" t="str">
        <x:v>Round 1</x:v>
      </x:c>
      <x:c r="G4" s="77"/>
      <x:c r="H4" s="77" t="str">
        <x:v>Round 2</x:v>
      </x:c>
      <x:c r="I4" s="77"/>
      <x:c r="J4" s="77" t="str">
        <x:v>Round 3</x:v>
      </x:c>
      <x:c r="K4" s="77"/>
    </x:row>
    <x:row r="5">
      <x:c r="A5" s="77" t="str">
        <x:v>Result</x:v>
      </x:c>
      <x:c r="B5" s="77" t="str">
        <x:v>Meaning</x:v>
      </x:c>
      <x:c r="C5"/>
      <x:c r="D5"/>
      <x:c r="E5"/>
      <x:c r="F5" s="81" t="str">
        <x:v>iOS</x:v>
      </x:c>
      <x:c r="G5" s="81" t="str">
        <x:v>Android</x:v>
      </x:c>
      <x:c r="H5" s="81" t="str">
        <x:v>iOS</x:v>
      </x:c>
      <x:c r="I5" s="81" t="str">
        <x:v>Android</x:v>
      </x:c>
      <x:c r="J5" s="81" t="str">
        <x:v>iOS</x:v>
      </x:c>
      <x:c r="K5" s="81" t="str">
        <x:v>Android</x:v>
      </x:c>
    </x:row>
    <x:row r="6">
      <x:c r="A6" s="5" t="str">
        <x:v>Pass</x:v>
      </x:c>
      <x:c r="B6" s="82" t="str">
        <x:v>Expected behaviour observed</x:v>
      </x:c>
      <x:c r="C6"/>
      <x:c r="D6"/>
      <x:c r="E6"/>
      <x:c r="F6" s="87" t="n">
        <x:f>COUNTIFS(F$14:F$133,"Pass*")</x:f>
        <x:v>0</x:v>
      </x:c>
      <x:c r="G6" s="87" t="n">
        <x:f>COUNTIFS(G$14:G$133,"Pass*")</x:f>
        <x:v>0</x:v>
      </x:c>
      <x:c r="H6" s="87" t="n">
        <x:f>COUNTIFS(H$14:H$133,"Pass*")</x:f>
        <x:v>0</x:v>
      </x:c>
      <x:c r="I6" s="87" t="n">
        <x:f>COUNTIFS(I$14:I$133,"Pass*")</x:f>
        <x:v>0</x:v>
      </x:c>
      <x:c r="J6" s="87" t="n">
        <x:f>COUNTIFS(J$14:J$133,"Pass*")</x:f>
        <x:v>0</x:v>
      </x:c>
      <x:c r="K6" s="87" t="n">
        <x:f>COUNTIFS(K$14:K$133,"Pass*")</x:f>
        <x:v>0</x:v>
      </x:c>
    </x:row>
    <x:row r="7">
      <x:c r="A7" s="5" t="str">
        <x:v>Fail</x:v>
      </x:c>
      <x:c r="B7" s="82" t="str">
        <x:v>Unexpected behaviour; add a concise reason</x:v>
      </x:c>
      <x:c r="C7"/>
      <x:c r="D7"/>
      <x:c r="E7"/>
      <x:c r="F7" s="87" t="n">
        <x:f>COUNTIFS(F$14:F$133,"Fail*")</x:f>
        <x:v>0</x:v>
      </x:c>
      <x:c r="G7" s="87" t="n">
        <x:f>COUNTIFS(G$14:G$133,"Fail*")</x:f>
        <x:v>0</x:v>
      </x:c>
      <x:c r="H7" s="87" t="n">
        <x:f>COUNTIFS(H$14:H$133,"Fail*")</x:f>
        <x:v>0</x:v>
      </x:c>
      <x:c r="I7" s="87" t="n">
        <x:f>COUNTIFS(I$14:I$133,"Fail*")</x:f>
        <x:v>0</x:v>
      </x:c>
      <x:c r="J7" s="87" t="n">
        <x:f>COUNTIFS(J$14:J$133,"Fail*")</x:f>
        <x:v>0</x:v>
      </x:c>
      <x:c r="K7" s="87" t="n">
        <x:f>COUNTIFS(K$14:K$133,"Fail*")</x:f>
        <x:v>0</x:v>
      </x:c>
    </x:row>
    <x:row r="8">
      <x:c r="A8" s="5" t="str">
        <x:v>Blocked</x:v>
      </x:c>
      <x:c r="B8" s="82" t="str">
        <x:v>Could not complete; state the blocker</x:v>
      </x:c>
      <x:c r="C8"/>
      <x:c r="D8"/>
      <x:c r="E8"/>
      <x:c r="F8" s="87" t="n">
        <x:f>COUNTIFS(F$14:F$133,"Blocked*")</x:f>
        <x:v>0</x:v>
      </x:c>
      <x:c r="G8" s="87" t="n">
        <x:f>COUNTIFS(G$14:G$133,"Blocked*")</x:f>
        <x:v>0</x:v>
      </x:c>
      <x:c r="H8" s="87" t="n">
        <x:f>COUNTIFS(H$14:H$133,"Blocked*")</x:f>
        <x:v>0</x:v>
      </x:c>
      <x:c r="I8" s="87" t="n">
        <x:f>COUNTIFS(I$14:I$133,"Blocked*")</x:f>
        <x:v>0</x:v>
      </x:c>
      <x:c r="J8" s="87" t="n">
        <x:f>COUNTIFS(J$14:J$133,"Blocked*")</x:f>
        <x:v>0</x:v>
      </x:c>
      <x:c r="K8" s="87" t="n">
        <x:f>COUNTIFS(K$14:K$133,"Blocked*")</x:f>
        <x:v>0</x:v>
      </x:c>
    </x:row>
    <x:row r="9">
      <x:c r="A9" s="5" t="str">
        <x:v>Not run</x:v>
      </x:c>
      <x:c r="B9" s="82" t="str">
        <x:v>Not included in this round</x:v>
      </x:c>
      <x:c r="C9"/>
      <x:c r="D9"/>
      <x:c r="E9"/>
      <x:c r="F9" s="87" t="n">
        <x:f>COUNTIFS(F$14:F$133,"Not run*")</x:f>
        <x:v>0</x:v>
      </x:c>
      <x:c r="G9" s="87" t="n">
        <x:f>COUNTIFS(G$14:G$133,"Not run*")</x:f>
        <x:v>0</x:v>
      </x:c>
      <x:c r="H9" s="87" t="n">
        <x:f>COUNTIFS(H$14:H$133,"Not run*")</x:f>
        <x:v>0</x:v>
      </x:c>
      <x:c r="I9" s="87" t="n">
        <x:f>COUNTIFS(I$14:I$133,"Not run*")</x:f>
        <x:v>0</x:v>
      </x:c>
      <x:c r="J9" s="87" t="n">
        <x:f>COUNTIFS(J$14:J$133,"Not run*")</x:f>
        <x:v>0</x:v>
      </x:c>
      <x:c r="K9" s="87" t="n">
        <x:f>COUNTIFS(K$14:K$133,"Not run*")</x:f>
        <x:v>0</x:v>
      </x:c>
    </x:row>
    <x:row r="10">
      <x:c r="A10"/>
      <x:c r="B10"/>
      <x:c r="C10"/>
      <x:c r="D10"/>
      <x:c r="E10"/>
      <x:c r="F10"/>
      <x:c r="G10"/>
      <x:c r="H10"/>
    </x:row>
    <x:row r="11" ht="21" customHeight="1">
      <x:c r="A11" s="99" t="str">
        <x:v>Test case</x:v>
      </x:c>
      <x:c r="B11" s="100" t="str">
        <x:v>Expected result</x:v>
      </x:c>
      <x:c r="C11" s="100" t="str">
        <x:v>Priority</x:v>
      </x:c>
      <x:c r="D11" s="100" t="str">
        <x:v>Platform / device</x:v>
      </x:c>
      <x:c r="E11" s="101" t="str">
        <x:v>Preconditions / test data</x:v>
      </x:c>
      <x:c r="F11" s="100" t="str">
        <x:v>Round 1</x:v>
      </x:c>
      <x:c r="G11" s="100"/>
      <x:c r="H11" s="100" t="str">
        <x:v>Round 2</x:v>
      </x:c>
      <x:c r="I11" s="100"/>
      <x:c r="J11" s="100" t="str">
        <x:v>Round 3</x:v>
      </x:c>
      <x:c r="K11" s="101"/>
    </x:row>
    <x:row r="12" ht="18" customHeight="1">
      <x:c r="A12" s="111"/>
      <x:c r="B12" s="112"/>
      <x:c r="C12" s="112"/>
      <x:c r="D12" s="112"/>
      <x:c r="E12" s="113"/>
      <x:c r="F12" s="118" t="str">
        <x:v>iOS</x:v>
      </x:c>
      <x:c r="G12" s="118" t="str">
        <x:v>Android</x:v>
      </x:c>
      <x:c r="H12" s="118" t="str">
        <x:v>iOS</x:v>
      </x:c>
      <x:c r="I12" s="118" t="str">
        <x:v>Android</x:v>
      </x:c>
      <x:c r="J12" s="118" t="str">
        <x:v>iOS</x:v>
      </x:c>
      <x:c r="K12" s="118" t="str">
        <x:v>Android</x:v>
      </x:c>
    </x:row>
    <x:row r="13" ht="19.5" customHeight="1">
      <x:c r="A13" s="129" t="str">
        <x:v>Build, installation and updates</x:v>
      </x:c>
      <x:c r="B13" s="129"/>
      <x:c r="C13" s="130"/>
      <x:c r="D13" s="129"/>
      <x:c r="E13" s="129"/>
      <x:c r="F13" s="129"/>
      <x:c r="G13" s="129"/>
      <x:c r="H13" s="129"/>
      <x:c r="I13" s="129"/>
      <x:c r="J13" s="129"/>
      <x:c r="K13" s="129"/>
    </x:row>
    <x:row r="14" ht="43.5" customHeight="1">
      <x:c r="A14" s="120" t="str">
        <x:v>REL-01 Install the latest TestFlight or internal-test build on a clean device and open it.</x:v>
      </x:c>
      <x:c r="B14" s="120" t="str">
        <x:v>The app installs, launches without a crash and shows the authentication flow.</x:v>
      </x:c>
      <x:c r="C14" s="124" t="str">
        <x:v>P0</x:v>
      </x:c>
      <x:c r="D14" s="120" t="str">
        <x:v>iOS and Android</x:v>
      </x:c>
      <x:c r="E14" s="120" t="str">
        <x:v>Remove any previous installation first.</x:v>
      </x:c>
      <x:c r="F14" s="120"/>
      <x:c r="G14" s="120"/>
      <x:c r="H14" s="120"/>
      <x:c r="I14" s="120"/>
      <x:c r="J14" s="120"/>
      <x:c r="K14" s="120"/>
    </x:row>
    <x:row r="15" ht="43.5" customHeight="1">
      <x:c r="A15" s="120" t="str">
        <x:v>REL-02 Upgrade over the previous test build without uninstalling.</x:v>
      </x:c>
      <x:c r="B15" s="120" t="str">
        <x:v>The update completes and the existing account session, local trips and downloaded media remain available.</x:v>
      </x:c>
      <x:c r="C15" s="124" t="str">
        <x:v>P0</x:v>
      </x:c>
      <x:c r="D15" s="120" t="str">
        <x:v>iOS and Android</x:v>
      </x:c>
      <x:c r="E15" s="120" t="str">
        <x:v>Install the previous build and create local data first.</x:v>
      </x:c>
      <x:c r="F15" s="120"/>
      <x:c r="G15" s="120"/>
      <x:c r="H15" s="120"/>
      <x:c r="I15" s="120"/>
      <x:c r="J15" s="120"/>
      <x:c r="K15" s="120"/>
    </x:row>
    <x:row r="16" ht="43.5" customHeight="1">
      <x:c r="A16" s="120" t="str">
        <x:v>REL-03 Send the app to the background and reopen it after several minutes.</x:v>
      </x:c>
      <x:c r="B16" s="120" t="str">
        <x:v>The same screen remains usable, authentication is retained and no duplicate modal appears.</x:v>
      </x:c>
      <x:c r="C16" s="124" t="str">
        <x:v>P1</x:v>
      </x:c>
      <x:c r="D16" s="120" t="str">
        <x:v>iOS and Android</x:v>
      </x:c>
      <x:c r="E16" s="120" t="str">
        <x:v>Signed-in account.</x:v>
      </x:c>
      <x:c r="F16" s="120"/>
      <x:c r="G16" s="120"/>
      <x:c r="H16" s="120"/>
      <x:c r="I16" s="120"/>
      <x:c r="J16" s="120"/>
      <x:c r="K16" s="120"/>
    </x:row>
    <x:row r="17" ht="43.5" customHeight="1">
      <x:c r="A17" s="120" t="str">
        <x:v>REL-04 Force-quit during ordinary browsing, then reopen the app.</x:v>
      </x:c>
      <x:c r="B17" s="120" t="str">
        <x:v>The app returns to a valid screen and locally saved data remains intact.</x:v>
      </x:c>
      <x:c r="C17" s="124" t="str">
        <x:v>P0</x:v>
      </x:c>
      <x:c r="D17" s="120" t="str">
        <x:v>iOS and Android</x:v>
      </x:c>
      <x:c r="E17" s="120" t="str">
        <x:v>Signed-in account with at least one trip.</x:v>
      </x:c>
      <x:c r="F17" s="120"/>
      <x:c r="G17" s="120"/>
      <x:c r="H17" s="120"/>
      <x:c r="I17" s="120"/>
      <x:c r="J17" s="120"/>
      <x:c r="K17" s="120"/>
    </x:row>
    <x:row r="18" ht="43.5" customHeight="1">
      <x:c r="A18" s="120" t="str">
        <x:v>REL-05 Confirm the production build displays the correct app name, icon and launch screen.</x:v>
      </x:c>
      <x:c r="B18" s="120" t="str">
        <x:v>Wafflelog branding is correct with no development labels; the iOS icon and Android adaptive and monochrome icons are correctly scaled and not cropped.</x:v>
      </x:c>
      <x:c r="C18" s="124" t="str">
        <x:v>P0</x:v>
      </x:c>
      <x:c r="D18" s="120" t="str">
        <x:v>iOS and Android</x:v>
      </x:c>
      <x:c r="E18" s="120" t="str">
        <x:v>Production-profile build.</x:v>
      </x:c>
      <x:c r="F18" s="120"/>
      <x:c r="G18" s="120"/>
      <x:c r="H18" s="120"/>
      <x:c r="I18" s="120"/>
      <x:c r="J18" s="120"/>
      <x:c r="K18" s="120"/>
    </x:row>
    <x:row r="19" ht="19.5" customHeight="1">
      <x:c r="A19" s="129" t="str">
        <x:v>Authentication and account management</x:v>
      </x:c>
      <x:c r="B19" s="129"/>
      <x:c r="C19" s="130"/>
      <x:c r="D19" s="129"/>
      <x:c r="E19" s="129"/>
      <x:c r="F19" s="129"/>
      <x:c r="G19" s="129"/>
      <x:c r="H19" s="129"/>
      <x:c r="I19" s="129"/>
      <x:c r="J19" s="129"/>
      <x:c r="K19" s="129"/>
    </x:row>
    <x:row r="20" ht="43.5" customHeight="1">
      <x:c r="A20" s="120" t="str">
        <x:v>AUTH-01 Register with a valid new email, username and password.</x:v>
      </x:c>
      <x:c r="B20" s="120" t="str">
        <x:v>Registration succeeds and the user is directed to verify their email before normal app access.</x:v>
      </x:c>
      <x:c r="C20" s="124" t="str">
        <x:v>P0</x:v>
      </x:c>
      <x:c r="D20" s="120" t="str">
        <x:v>iOS and Android</x:v>
      </x:c>
      <x:c r="E20" s="120" t="str">
        <x:v>Unused email address.</x:v>
      </x:c>
      <x:c r="F20" s="120"/>
      <x:c r="G20" s="120"/>
      <x:c r="H20" s="120"/>
      <x:c r="I20" s="120"/>
      <x:c r="J20" s="120"/>
      <x:c r="K20" s="120"/>
    </x:row>
    <x:row r="21" ht="43.5" customHeight="1">
      <x:c r="A21" s="120" t="str">
        <x:v>AUTH-02 Submit registration with missing, malformed or invalid fields.</x:v>
      </x:c>
      <x:c r="B21" s="120" t="str">
        <x:v>Inline validation explains the issue and no account is created.</x:v>
      </x:c>
      <x:c r="C21" s="124" t="str">
        <x:v>P1</x:v>
      </x:c>
      <x:c r="D21" s="120" t="str">
        <x:v>iOS and Android</x:v>
      </x:c>
      <x:c r="E21" s="120" t="str">
        <x:v>Try invalid email and password values.</x:v>
      </x:c>
      <x:c r="F21" s="120"/>
      <x:c r="G21" s="120"/>
      <x:c r="H21" s="120"/>
      <x:c r="I21" s="120"/>
      <x:c r="J21" s="120"/>
      <x:c r="K21" s="120"/>
    </x:row>
    <x:row r="22" ht="43.5" customHeight="1">
      <x:c r="A22" s="120" t="str">
        <x:v>AUTH-03 Open the verification email link on the test device.</x:v>
      </x:c>
      <x:c r="B22" s="120" t="str">
        <x:v>The link opens Wafflelog, confirms the account and leads to a valid authenticated state.</x:v>
      </x:c>
      <x:c r="C22" s="124" t="str">
        <x:v>P0</x:v>
      </x:c>
      <x:c r="D22" s="120" t="str">
        <x:v>iOS and Android</x:v>
      </x:c>
      <x:c r="E22" s="120" t="str">
        <x:v>New unverified account and access to its inbox.</x:v>
      </x:c>
      <x:c r="F22" s="120"/>
      <x:c r="G22" s="120"/>
      <x:c r="H22" s="120"/>
      <x:c r="I22" s="120"/>
      <x:c r="J22" s="120"/>
      <x:c r="K22" s="120"/>
    </x:row>
    <x:row r="23" ht="43.5" customHeight="1">
      <x:c r="A23" s="120" t="str">
        <x:v>AUTH-04 Request another verification email.</x:v>
      </x:c>
      <x:c r="B23" s="120" t="str">
        <x:v>A confirmation message appears and a valid replacement email arrives, subject to provider rate limits.</x:v>
      </x:c>
      <x:c r="C23" s="124" t="str">
        <x:v>P1</x:v>
      </x:c>
      <x:c r="D23" s="120" t="str">
        <x:v>iOS and Android</x:v>
      </x:c>
      <x:c r="E23" s="120" t="str">
        <x:v>Unverified account.</x:v>
      </x:c>
      <x:c r="F23" s="120"/>
      <x:c r="G23" s="120"/>
      <x:c r="H23" s="120"/>
      <x:c r="I23" s="120"/>
      <x:c r="J23" s="120"/>
      <x:c r="K23" s="120"/>
    </x:row>
    <x:row r="24" ht="43.5" customHeight="1">
      <x:c r="A24" s="120" t="str">
        <x:v>AUTH-05 Sign in with the correct email and password.</x:v>
      </x:c>
      <x:c r="B24" s="120" t="str">
        <x:v>The user reaches the home screen and sees only their own account data.</x:v>
      </x:c>
      <x:c r="C24" s="124" t="str">
        <x:v>P0</x:v>
      </x:c>
      <x:c r="D24" s="120" t="str">
        <x:v>iOS and Android</x:v>
      </x:c>
      <x:c r="E24" s="120" t="str">
        <x:v>Verified account.</x:v>
      </x:c>
      <x:c r="F24" s="120"/>
      <x:c r="G24" s="120"/>
      <x:c r="H24" s="120"/>
      <x:c r="I24" s="120"/>
      <x:c r="J24" s="120"/>
      <x:c r="K24" s="120"/>
    </x:row>
    <x:row r="25" ht="43.5" customHeight="1">
      <x:c r="A25" s="120" t="str">
        <x:v>AUTH-06 Sign in with an incorrect password.</x:v>
      </x:c>
      <x:c r="B25" s="120" t="str">
        <x:v>A clear error is shown without exposing technical details or creating a session.</x:v>
      </x:c>
      <x:c r="C25" s="124" t="str">
        <x:v>P1</x:v>
      </x:c>
      <x:c r="D25" s="120" t="str">
        <x:v>iOS and Android</x:v>
      </x:c>
      <x:c r="E25" s="120" t="str">
        <x:v>Verified account.</x:v>
      </x:c>
      <x:c r="F25" s="120"/>
      <x:c r="G25" s="120"/>
      <x:c r="H25" s="120"/>
      <x:c r="I25" s="120"/>
      <x:c r="J25" s="120"/>
      <x:c r="K25" s="120"/>
    </x:row>
    <x:row r="26" ht="43.5" customHeight="1">
      <x:c r="A26" s="120" t="str">
        <x:v>AUTH-07 Request a password-reset email and open its link on the device.</x:v>
      </x:c>
      <x:c r="B26" s="120" t="str">
        <x:v>The app opens the reset-password screen and allows a valid new password.</x:v>
      </x:c>
      <x:c r="C26" s="124" t="str">
        <x:v>P0</x:v>
      </x:c>
      <x:c r="D26" s="120" t="str">
        <x:v>iOS and Android</x:v>
      </x:c>
      <x:c r="E26" s="120" t="str">
        <x:v>Verified account and access to its inbox.</x:v>
      </x:c>
      <x:c r="F26" s="120"/>
      <x:c r="G26" s="120"/>
      <x:c r="H26" s="120"/>
      <x:c r="I26" s="120"/>
      <x:c r="J26" s="120"/>
      <x:c r="K26" s="120"/>
    </x:row>
    <x:row r="27" ht="43.5" customHeight="1">
      <x:c r="A27" s="120" t="str">
        <x:v>AUTH-08 Sign out after resetting the password, then sign in normally with the new password.</x:v>
      </x:c>
      <x:c r="B27" s="120" t="str">
        <x:v>The user reaches the home screen and is not returned to the reset-password screen.</x:v>
      </x:c>
      <x:c r="C27" s="124" t="str">
        <x:v>P0</x:v>
      </x:c>
      <x:c r="D27" s="120" t="str">
        <x:v>iOS and Android</x:v>
      </x:c>
      <x:c r="E27" s="120" t="str">
        <x:v>Complete AUTH-07 first.</x:v>
      </x:c>
      <x:c r="F27" s="120"/>
      <x:c r="G27" s="120"/>
      <x:c r="H27" s="120"/>
      <x:c r="I27" s="120"/>
      <x:c r="J27" s="120"/>
      <x:c r="K27" s="120"/>
    </x:row>
    <x:row r="28" ht="43.5" customHeight="1">
      <x:c r="A28" s="120" t="str">
        <x:v>AUTH-09 Sign out from Settings.</x:v>
      </x:c>
      <x:c r="B28" s="120" t="str">
        <x:v>Only the current device session ends; the authentication screen appears and private local data is not shown to the next account.</x:v>
      </x:c>
      <x:c r="C28" s="124" t="str">
        <x:v>P0</x:v>
      </x:c>
      <x:c r="D28" s="120" t="str">
        <x:v>iOS and Android</x:v>
      </x:c>
      <x:c r="E28" s="120" t="str">
        <x:v>Signed-in account.</x:v>
      </x:c>
      <x:c r="F28" s="120"/>
      <x:c r="G28" s="120"/>
      <x:c r="H28" s="120"/>
      <x:c r="I28" s="120"/>
      <x:c r="J28" s="120"/>
      <x:c r="K28" s="120"/>
    </x:row>
    <x:row r="29" ht="43.5" customHeight="1">
      <x:c r="A29" s="120" t="str">
        <x:v>AUTH-10 Delete the account using the required DELETE confirmation text.</x:v>
      </x:c>
      <x:c r="B29" s="120" t="str">
        <x:v>Incorrect text cannot proceed. Correct confirmation deletes the account, signs the user out and prevents future login.</x:v>
      </x:c>
      <x:c r="C29" s="124" t="str">
        <x:v>P0</x:v>
      </x:c>
      <x:c r="D29" s="120" t="str">
        <x:v>iOS and Android</x:v>
      </x:c>
      <x:c r="E29" s="120" t="str">
        <x:v>Disposable verified account with representative data.</x:v>
      </x:c>
      <x:c r="F29" s="120"/>
      <x:c r="G29" s="120"/>
      <x:c r="H29" s="120"/>
      <x:c r="I29" s="120"/>
      <x:c r="J29" s="120"/>
      <x:c r="K29" s="120"/>
    </x:row>
    <x:row r="30" ht="43.5" customHeight="1">
      <x:c r="A30" s="120" t="str">
        <x:v>AUTH-11 Register with a username already used by another account, including different letter casing.</x:v>
      </x:c>
      <x:c r="B30" s="120" t="str">
        <x:v>Registration is rejected before verification and clearly states that the username is already taken; no partial account remains.</x:v>
      </x:c>
      <x:c r="C30" s="124" t="str">
        <x:v>P0</x:v>
      </x:c>
      <x:c r="D30" s="120" t="str">
        <x:v>iOS and Android</x:v>
      </x:c>
      <x:c r="E30" s="120" t="str">
        <x:v>Existing verified account plus a different unused email address.</x:v>
      </x:c>
      <x:c r="F30" s="120"/>
      <x:c r="G30" s="120"/>
      <x:c r="H30" s="120"/>
      <x:c r="I30" s="120"/>
      <x:c r="J30" s="120"/>
      <x:c r="K30" s="120"/>
    </x:row>
    <x:row r="31" ht="19.5" customHeight="1">
      <x:c r="A31" s="129" t="str">
        <x:v>Home, navigation and settings</x:v>
      </x:c>
      <x:c r="B31" s="129"/>
      <x:c r="C31" s="130"/>
      <x:c r="D31" s="129"/>
      <x:c r="E31" s="129"/>
      <x:c r="F31" s="129"/>
      <x:c r="G31" s="129"/>
      <x:c r="H31" s="129"/>
      <x:c r="I31" s="129"/>
      <x:c r="J31" s="129"/>
      <x:c r="K31" s="129"/>
    </x:row>
    <x:row r="32" ht="43.5" customHeight="1">
      <x:c r="A32" s="120" t="str">
        <x:v>HOME-01 Open the home screen in the morning and again in the evening without restarting the app.</x:v>
      </x:c>
      <x:c r="B32" s="120" t="str">
        <x:v>The greeting and time-based banner update when the screen regains focus.</x:v>
      </x:c>
      <x:c r="C32" s="124" t="str">
        <x:v>P1</x:v>
      </x:c>
      <x:c r="D32" s="120" t="str">
        <x:v>iOS and Android</x:v>
      </x:c>
      <x:c r="E32" s="120" t="str">
        <x:v>Change device time only on a disposable test setup if needed.</x:v>
      </x:c>
      <x:c r="F32" s="120"/>
      <x:c r="G32" s="120"/>
      <x:c r="H32" s="120"/>
      <x:c r="I32" s="120"/>
      <x:c r="J32" s="120"/>
      <x:c r="K32" s="120"/>
    </x:row>
    <x:row r="33" ht="43.5" customHeight="1">
      <x:c r="A33" s="120" t="str">
        <x:v>HOME-02 Open a trip card from the home screen.</x:v>
      </x:c>
      <x:c r="B33" s="120" t="str">
        <x:v>The correct trip opens and its date/day information is derived from that trip rather than placeholder values.</x:v>
      </x:c>
      <x:c r="C33" s="124" t="str">
        <x:v>P0</x:v>
      </x:c>
      <x:c r="D33" s="120" t="str">
        <x:v>iOS and Android</x:v>
      </x:c>
      <x:c r="E33" s="120" t="str">
        <x:v>At least two trips with different dates.</x:v>
      </x:c>
      <x:c r="F33" s="120"/>
      <x:c r="G33" s="120"/>
      <x:c r="H33" s="120"/>
      <x:c r="I33" s="120"/>
      <x:c r="J33" s="120"/>
      <x:c r="K33" s="120"/>
    </x:row>
    <x:row r="34" ht="43.5" customHeight="1">
      <x:c r="A34" s="120" t="str">
        <x:v>HOME-03 Open and close the drawer, trip, pin, modal and settings headers.</x:v>
      </x:c>
      <x:c r="B34" s="120" t="str">
        <x:v>Back, menu and close actions use consistent icons and return to the expected screen without leaving the keyboard visible.</x:v>
      </x:c>
      <x:c r="C34" s="124" t="str">
        <x:v>P1</x:v>
      </x:c>
      <x:c r="D34" s="120" t="str">
        <x:v>iOS and Android</x:v>
      </x:c>
      <x:c r="E34" s="120" t="str">
        <x:v>Signed-in account with one trip and pin.</x:v>
      </x:c>
      <x:c r="F34" s="120"/>
      <x:c r="G34" s="120"/>
      <x:c r="H34" s="120"/>
      <x:c r="I34" s="120"/>
      <x:c r="J34" s="120"/>
      <x:c r="K34" s="120"/>
    </x:row>
    <x:row r="35" ht="43.5" customHeight="1">
      <x:c r="A35" s="120" t="str">
        <x:v>HOME-04 Open Settings and review the account card, notification status, analytics control and pass balance.</x:v>
      </x:c>
      <x:c r="B35" s="120" t="str">
        <x:v>Each item shows the current account state without stale values from another account.</x:v>
      </x:c>
      <x:c r="C35" s="124" t="str">
        <x:v>P0</x:v>
      </x:c>
      <x:c r="D35" s="120" t="str">
        <x:v>iOS and Android</x:v>
      </x:c>
      <x:c r="E35" s="120" t="str">
        <x:v>Known account state.</x:v>
      </x:c>
      <x:c r="F35" s="120"/>
      <x:c r="G35" s="120"/>
      <x:c r="H35" s="120"/>
      <x:c r="I35" s="120"/>
      <x:c r="J35" s="120"/>
      <x:c r="K35" s="120"/>
    </x:row>
    <x:row r="36" ht="43.5" customHeight="1">
      <x:c r="A36" s="120" t="str">
        <x:v>HOME-05 Change the Usage analytics switch and reopen Settings.</x:v>
      </x:c>
      <x:c r="B36" s="120" t="str">
        <x:v>The chosen setting persists and tracking follows the selection.</x:v>
      </x:c>
      <x:c r="C36" s="124" t="str">
        <x:v>P1</x:v>
      </x:c>
      <x:c r="D36" s="120" t="str">
        <x:v>iOS and Android</x:v>
      </x:c>
      <x:c r="E36" s="120" t="str">
        <x:v>Analytics consent card previously answered or visible.</x:v>
      </x:c>
      <x:c r="F36" s="120"/>
      <x:c r="G36" s="120"/>
      <x:c r="H36" s="120"/>
      <x:c r="I36" s="120"/>
      <x:c r="J36" s="120"/>
      <x:c r="K36" s="120"/>
    </x:row>
    <x:row r="37" ht="43.5" customHeight="1">
      <x:c r="A37" s="120" t="str">
        <x:v>HOME-06 Open the legal links from the authentication flow and analytics consent card.</x:v>
      </x:c>
      <x:c r="B37" s="120" t="str">
        <x:v>Terms opens https://wafflelog.co.uk/terms/ and Privacy opens https://wafflelog.co.uk/privacy/ in an appropriate browser view.</x:v>
      </x:c>
      <x:c r="C37" s="124" t="str">
        <x:v>P0</x:v>
      </x:c>
      <x:c r="D37" s="120" t="str">
        <x:v>iOS and Android</x:v>
      </x:c>
      <x:c r="E37" s="120" t="str">
        <x:v>Internet connection and deployed legal pages.</x:v>
      </x:c>
      <x:c r="F37" s="120"/>
      <x:c r="G37" s="120"/>
      <x:c r="H37" s="120"/>
      <x:c r="I37" s="120"/>
      <x:c r="J37" s="120"/>
      <x:c r="K37" s="120"/>
    </x:row>
    <x:row r="38" ht="43.5" customHeight="1">
      <x:c r="A38" s="120" t="str">
        <x:v>HOME-07 Review private, owner-shared and companion trip cards on the home screen.</x:v>
      </x:c>
      <x:c r="B38" s="120" t="str">
        <x:v>Private trips have no sharing badge; shared trips show a clear Owner or Companion badge without crowding the card.</x:v>
      </x:c>
      <x:c r="C38" s="124" t="str">
        <x:v>P1</x:v>
      </x:c>
      <x:c r="D38" s="120" t="str">
        <x:v>iPhone, iPad and Android</x:v>
      </x:c>
      <x:c r="E38" s="120" t="str">
        <x:v>Account with private, owned shared and companion trips.</x:v>
      </x:c>
      <x:c r="F38" s="120"/>
      <x:c r="G38" s="120"/>
      <x:c r="H38" s="120"/>
      <x:c r="I38" s="120"/>
      <x:c r="J38" s="120"/>
      <x:c r="K38" s="120"/>
    </x:row>
    <x:row r="39" ht="19.5" customHeight="1">
      <x:c r="A39" s="129" t="str">
        <x:v>Trips, offline storage and synchronisation</x:v>
      </x:c>
      <x:c r="B39" s="129"/>
      <x:c r="C39" s="130"/>
      <x:c r="D39" s="129"/>
      <x:c r="E39" s="129"/>
      <x:c r="F39" s="129"/>
      <x:c r="G39" s="129"/>
      <x:c r="H39" s="129"/>
      <x:c r="I39" s="129"/>
      <x:c r="J39" s="129"/>
      <x:c r="K39" s="129"/>
    </x:row>
    <x:row r="40" ht="43.5" customHeight="1">
      <x:c r="A40" s="120" t="str">
        <x:v>TRIP-01 Create a trip with valid title and dates.</x:v>
      </x:c>
      <x:c r="B40" s="120" t="str">
        <x:v>The trip appears immediately on the device and later remains after app restart and synchronisation.</x:v>
      </x:c>
      <x:c r="C40" s="124" t="str">
        <x:v>P0</x:v>
      </x:c>
      <x:c r="D40" s="120" t="str">
        <x:v>iOS and Android</x:v>
      </x:c>
      <x:c r="E40" s="120" t="str">
        <x:v>Signed-in owner account.</x:v>
      </x:c>
      <x:c r="F40" s="120"/>
      <x:c r="G40" s="120"/>
      <x:c r="H40" s="120"/>
      <x:c r="I40" s="120"/>
      <x:c r="J40" s="120"/>
      <x:c r="K40" s="120"/>
    </x:row>
    <x:row r="41" ht="43.5" customHeight="1">
      <x:c r="A41" s="120" t="str">
        <x:v>TRIP-02 Try to create or edit a trip with invalid or reversed dates.</x:v>
      </x:c>
      <x:c r="B41" s="120" t="str">
        <x:v>Validation prevents saving and explains what must be corrected.</x:v>
      </x:c>
      <x:c r="C41" s="124" t="str">
        <x:v>P1</x:v>
      </x:c>
      <x:c r="D41" s="120" t="str">
        <x:v>iOS and Android</x:v>
      </x:c>
      <x:c r="E41" s="120" t="str">
        <x:v>Signed-in owner account.</x:v>
      </x:c>
      <x:c r="F41" s="120"/>
      <x:c r="G41" s="120"/>
      <x:c r="H41" s="120"/>
      <x:c r="I41" s="120"/>
      <x:c r="J41" s="120"/>
      <x:c r="K41" s="120"/>
    </x:row>
    <x:row r="42" ht="43.5" customHeight="1">
      <x:c r="A42" s="120" t="str">
        <x:v>TRIP-03 Edit a trip name and dates as its owner.</x:v>
      </x:c>
      <x:c r="B42" s="120" t="str">
        <x:v>Changes appear throughout the trip and sync to another signed-in device after refresh.</x:v>
      </x:c>
      <x:c r="C42" s="124" t="str">
        <x:v>P0</x:v>
      </x:c>
      <x:c r="D42" s="120" t="str">
        <x:v>Two devices</x:v>
      </x:c>
      <x:c r="E42" s="120" t="str">
        <x:v>Same owner account on both devices.</x:v>
      </x:c>
      <x:c r="F42" s="120"/>
      <x:c r="G42" s="120"/>
      <x:c r="H42" s="120"/>
      <x:c r="I42" s="120"/>
      <x:c r="J42" s="120"/>
      <x:c r="K42" s="120"/>
    </x:row>
    <x:row r="43" ht="43.5" customHeight="1">
      <x:c r="A43" s="120" t="str">
        <x:v>TRIP-04 Open Trip Settings as a companion.</x:v>
      </x:c>
      <x:c r="B43" s="120" t="str">
        <x:v>The owner is identified and edit/delete actions are hidden with an owner-only explanation.</x:v>
      </x:c>
      <x:c r="C43" s="124" t="str">
        <x:v>P0</x:v>
      </x:c>
      <x:c r="D43" s="120" t="str">
        <x:v>Two accounts</x:v>
      </x:c>
      <x:c r="E43" s="120" t="str">
        <x:v>Accepted companion membership.</x:v>
      </x:c>
      <x:c r="F43" s="120"/>
      <x:c r="G43" s="120"/>
      <x:c r="H43" s="120"/>
      <x:c r="I43" s="120"/>
      <x:c r="J43" s="120"/>
      <x:c r="K43" s="120"/>
    </x:row>
    <x:row r="44" ht="43.5" customHeight="1">
      <x:c r="A44" s="120" t="str">
        <x:v>TRIP-05 Delete a trip as its owner and confirm the warning.</x:v>
      </x:c>
      <x:c r="B44" s="120" t="str">
        <x:v>The trip disappears locally, is removed remotely after sync and disappears from companion devices after refresh.</x:v>
      </x:c>
      <x:c r="C44" s="124" t="str">
        <x:v>P0</x:v>
      </x:c>
      <x:c r="D44" s="120" t="str">
        <x:v>Two devices</x:v>
      </x:c>
      <x:c r="E44" s="120" t="str">
        <x:v>Disposable shared trip.</x:v>
      </x:c>
      <x:c r="F44" s="120"/>
      <x:c r="G44" s="120"/>
      <x:c r="H44" s="120"/>
      <x:c r="I44" s="120"/>
      <x:c r="J44" s="120"/>
      <x:c r="K44" s="120"/>
    </x:row>
    <x:row r="45" ht="43.5" customHeight="1">
      <x:c r="A45" s="120" t="str">
        <x:v>TRIP-06 Cancel the delete-trip confirmation.</x:v>
      </x:c>
      <x:c r="B45" s="120" t="str">
        <x:v>The trip and all its content remain unchanged.</x:v>
      </x:c>
      <x:c r="C45" s="124" t="str">
        <x:v>P1</x:v>
      </x:c>
      <x:c r="D45" s="120" t="str">
        <x:v>iOS and Android</x:v>
      </x:c>
      <x:c r="E45" s="120" t="str">
        <x:v>Owner account with a trip.</x:v>
      </x:c>
      <x:c r="F45" s="120"/>
      <x:c r="G45" s="120"/>
      <x:c r="H45" s="120"/>
      <x:c r="I45" s="120"/>
      <x:c r="J45" s="120"/>
      <x:c r="K45" s="120"/>
    </x:row>
    <x:row r="46" ht="43.5" customHeight="1">
      <x:c r="A46" s="120" t="str">
        <x:v>TRIP-07 Pull to refresh the home or trip screen after another device changes trip content.</x:v>
      </x:c>
      <x:c r="B46" s="120" t="str">
        <x:v>Remote changes download once and the refresh indicator finishes without duplicating records.</x:v>
      </x:c>
      <x:c r="C46" s="124" t="str">
        <x:v>P0</x:v>
      </x:c>
      <x:c r="D46" s="120" t="str">
        <x:v>Two devices</x:v>
      </x:c>
      <x:c r="E46" s="120" t="str">
        <x:v>Same account or shared trip on both devices.</x:v>
      </x:c>
      <x:c r="F46" s="120"/>
      <x:c r="G46" s="120"/>
      <x:c r="H46" s="120"/>
      <x:c r="I46" s="120"/>
      <x:c r="J46" s="120"/>
      <x:c r="K46" s="120"/>
    </x:row>
    <x:row r="47" ht="43.5" customHeight="1">
      <x:c r="A47" s="120" t="str">
        <x:v>TRIP-08 Create or edit content while offline, then reconnect and trigger upload.</x:v>
      </x:c>
      <x:c r="B47" s="120" t="str">
        <x:v>Local changes remain usable offline and upload successfully when the normal sync trigger runs.</x:v>
      </x:c>
      <x:c r="C47" s="124" t="str">
        <x:v>P0</x:v>
      </x:c>
      <x:c r="D47" s="120" t="str">
        <x:v>iOS and Android</x:v>
      </x:c>
      <x:c r="E47" s="120" t="str">
        <x:v>Previously bootstrapped account and controllable network.</x:v>
      </x:c>
      <x:c r="F47" s="120"/>
      <x:c r="G47" s="120"/>
      <x:c r="H47" s="120"/>
      <x:c r="I47" s="120"/>
      <x:c r="J47" s="120"/>
      <x:c r="K47" s="120"/>
    </x:row>
    <x:row r="48" ht="43.5" customHeight="1">
      <x:c r="A48" s="120" t="str">
        <x:v>TRIP-09 Sign in on a device with no local database and complete first-device bootstrap.</x:v>
      </x:c>
      <x:c r="B48" s="120" t="str">
        <x:v>A blocking first-login message appears, remote trip metadata downloads and the gate closes only after success.</x:v>
      </x:c>
      <x:c r="C48" s="124" t="str">
        <x:v>P0</x:v>
      </x:c>
      <x:c r="D48" s="120" t="str">
        <x:v>Second or clean device</x:v>
      </x:c>
      <x:c r="E48" s="120" t="str">
        <x:v>Account with existing remote trips.</x:v>
      </x:c>
      <x:c r="F48" s="120"/>
      <x:c r="G48" s="120"/>
      <x:c r="H48" s="120"/>
      <x:c r="I48" s="120"/>
      <x:c r="J48" s="120"/>
      <x:c r="K48" s="120"/>
    </x:row>
    <x:row r="49" ht="43.5" customHeight="1">
      <x:c r="A49" s="120" t="str">
        <x:v>TRIP-10 Interrupt first-device bootstrap, then reopen and retry.</x:v>
      </x:c>
      <x:c r="B49" s="120" t="str">
        <x:v>The app does not mark an incomplete bootstrap as finished and retries the complete download safely.</x:v>
      </x:c>
      <x:c r="C49" s="124" t="str">
        <x:v>P1</x:v>
      </x:c>
      <x:c r="D49" s="120" t="str">
        <x:v>iOS and Android</x:v>
      </x:c>
      <x:c r="E49" s="120" t="str">
        <x:v>Account with several remote trips.</x:v>
      </x:c>
      <x:c r="F49" s="120"/>
      <x:c r="G49" s="120"/>
      <x:c r="H49" s="120"/>
      <x:c r="I49" s="120"/>
      <x:c r="J49" s="120"/>
      <x:c r="K49" s="120"/>
    </x:row>
    <x:row r="50" ht="43.5" customHeight="1">
      <x:c r="A50" s="120" t="str">
        <x:v>TRIP-11 Force first-device bootstrap to fail, then use both recovery actions.</x:v>
      </x:c>
      <x:c r="B50" s="120" t="str">
        <x:v>Try again restarts bootstrap; Sign out leaves the blocking screen and returns to authentication without exposing cached account data.</x:v>
      </x:c>
      <x:c r="C50" s="124" t="str">
        <x:v>P0</x:v>
      </x:c>
      <x:c r="D50" s="120" t="str">
        <x:v>iOS and Android</x:v>
      </x:c>
      <x:c r="E50" s="120" t="str">
        <x:v>Clean device, account with remote trips and controllable connectivity.</x:v>
      </x:c>
      <x:c r="F50" s="120"/>
      <x:c r="G50" s="120"/>
      <x:c r="H50" s="120"/>
      <x:c r="I50" s="120"/>
      <x:c r="J50" s="120"/>
      <x:c r="K50" s="120"/>
    </x:row>
    <x:row r="51" ht="43.5" customHeight="1">
      <x:c r="A51" s="120" t="str">
        <x:v>TRIP-12 Trigger an upload and a pull-to-refresh download at nearly the same time.</x:v>
      </x:c>
      <x:c r="B51" s="120" t="str">
        <x:v>Sync operations finish sequentially without SQLite rollback errors, duplicated records or a stuck refresh state.</x:v>
      </x:c>
      <x:c r="C51" s="124" t="str">
        <x:v>P0</x:v>
      </x:c>
      <x:c r="D51" s="120" t="str">
        <x:v>iOS and Android</x:v>
      </x:c>
      <x:c r="E51" s="120" t="str">
        <x:v>Pending local change plus a remote change on the same or shared trip.</x:v>
      </x:c>
      <x:c r="F51" s="120"/>
      <x:c r="G51" s="120"/>
      <x:c r="H51" s="120"/>
      <x:c r="I51" s="120"/>
      <x:c r="J51" s="120"/>
      <x:c r="K51" s="120"/>
    </x:row>
    <x:row r="52" ht="19.5" customHeight="1">
      <x:c r="A52" s="129" t="str">
        <x:v>Pins and trip content</x:v>
      </x:c>
      <x:c r="B52" s="129"/>
      <x:c r="C52" s="130"/>
      <x:c r="D52" s="129"/>
      <x:c r="E52" s="129"/>
      <x:c r="F52" s="129"/>
      <x:c r="G52" s="129"/>
      <x:c r="H52" s="129"/>
      <x:c r="I52" s="129"/>
      <x:c r="J52" s="129"/>
      <x:c r="K52" s="129"/>
    </x:row>
    <x:row r="53" ht="43.5" customHeight="1">
      <x:c r="A53" s="120" t="str">
        <x:v>PIN-01 Create a pin for a trip day with a title and category.</x:v>
      </x:c>
      <x:c r="B53" s="120" t="str">
        <x:v>The pin appears under the correct day with the mapped category name, colour and icon.</x:v>
      </x:c>
      <x:c r="C53" s="124" t="str">
        <x:v>P0</x:v>
      </x:c>
      <x:c r="D53" s="120" t="str">
        <x:v>iOS and Android</x:v>
      </x:c>
      <x:c r="E53" s="120" t="str">
        <x:v>Trip spanning multiple days.</x:v>
      </x:c>
      <x:c r="F53" s="120"/>
      <x:c r="G53" s="120"/>
      <x:c r="H53" s="120"/>
      <x:c r="I53" s="120"/>
      <x:c r="J53" s="120"/>
      <x:c r="K53" s="120"/>
    </x:row>
    <x:row r="54" ht="43.5" customHeight="1">
      <x:c r="A54" s="120" t="str">
        <x:v>PIN-02 Add optional time, notes and location details to a pin.</x:v>
      </x:c>
      <x:c r="B54" s="120" t="str">
        <x:v>Every supplied field is retained after closing, reopening and synchronising the pin.</x:v>
      </x:c>
      <x:c r="C54" s="124" t="str">
        <x:v>P1</x:v>
      </x:c>
      <x:c r="D54" s="120" t="str">
        <x:v>iOS and Android</x:v>
      </x:c>
      <x:c r="E54" s="120" t="str">
        <x:v>Existing trip.</x:v>
      </x:c>
      <x:c r="F54" s="120"/>
      <x:c r="G54" s="120"/>
      <x:c r="H54" s="120"/>
      <x:c r="I54" s="120"/>
      <x:c r="J54" s="120"/>
      <x:c r="K54" s="120"/>
    </x:row>
    <x:row r="55" ht="43.5" customHeight="1">
      <x:c r="A55" s="120" t="str">
        <x:v>PIN-03 Edit a pin and move it to another day.</x:v>
      </x:c>
      <x:c r="B55" s="120" t="str">
        <x:v>The pin moves to the correct day without duplication and retains its child content.</x:v>
      </x:c>
      <x:c r="C55" s="124" t="str">
        <x:v>P0</x:v>
      </x:c>
      <x:c r="D55" s="120" t="str">
        <x:v>iOS and Android</x:v>
      </x:c>
      <x:c r="E55" s="120" t="str">
        <x:v>Existing pin with child content.</x:v>
      </x:c>
      <x:c r="F55" s="120"/>
      <x:c r="G55" s="120"/>
      <x:c r="H55" s="120"/>
      <x:c r="I55" s="120"/>
      <x:c r="J55" s="120"/>
      <x:c r="K55" s="120"/>
    </x:row>
    <x:row r="56" ht="43.5" customHeight="1">
      <x:c r="A56" s="120" t="str">
        <x:v>PIN-04 Delete a pin and confirm the warning.</x:v>
      </x:c>
      <x:c r="B56" s="120" t="str">
        <x:v>The pin and its associated local content disappear and the deletion reaches other devices after refresh.</x:v>
      </x:c>
      <x:c r="C56" s="124" t="str">
        <x:v>P0</x:v>
      </x:c>
      <x:c r="D56" s="120" t="str">
        <x:v>Two devices</x:v>
      </x:c>
      <x:c r="E56" s="120" t="str">
        <x:v>Disposable pin.</x:v>
      </x:c>
      <x:c r="F56" s="120"/>
      <x:c r="G56" s="120"/>
      <x:c r="H56" s="120"/>
      <x:c r="I56" s="120"/>
      <x:c r="J56" s="120"/>
      <x:c r="K56" s="120"/>
    </x:row>
    <x:row r="57" ht="43.5" customHeight="1">
      <x:c r="A57" s="120" t="str">
        <x:v>PIN-05 Open one pin from the drawer, then select another pin without leaving the route group.</x:v>
      </x:c>
      <x:c r="B57" s="120" t="str">
        <x:v>The screen reacts to the new pin ID and displays the newly selected pin.</x:v>
      </x:c>
      <x:c r="C57" s="124" t="str">
        <x:v>P0</x:v>
      </x:c>
      <x:c r="D57" s="120" t="str">
        <x:v>iOS and Android</x:v>
      </x:c>
      <x:c r="E57" s="120" t="str">
        <x:v>Trip with at least two pins.</x:v>
      </x:c>
      <x:c r="F57" s="120"/>
      <x:c r="G57" s="120"/>
      <x:c r="H57" s="120"/>
      <x:c r="I57" s="120"/>
      <x:c r="J57" s="120"/>
      <x:c r="K57" s="120"/>
    </x:row>
    <x:row r="58" ht="43.5" customHeight="1">
      <x:c r="A58" s="120" t="str">
        <x:v>PIN-06 Search for a place and choose one of up to ten compact result cards.</x:v>
      </x:c>
      <x:c r="B58" s="120" t="str">
        <x:v>The full place name and useful address/rating information appear; latitude/longitude and paid photos are not shown.</x:v>
      </x:c>
      <x:c r="C58" s="124" t="str">
        <x:v>P1</x:v>
      </x:c>
      <x:c r="D58" s="120" t="str">
        <x:v>iOS and Android</x:v>
      </x:c>
      <x:c r="E58" s="120" t="str">
        <x:v>Google Places configuration and internet connection.</x:v>
      </x:c>
      <x:c r="F58" s="120"/>
      <x:c r="G58" s="120"/>
      <x:c r="H58" s="120"/>
      <x:c r="I58" s="120"/>
      <x:c r="J58" s="120"/>
      <x:c r="K58" s="120"/>
    </x:row>
    <x:row r="59" ht="43.5" customHeight="1">
      <x:c r="A59" s="120" t="str">
        <x:v>PIN-07 Open a saved pin location in the device map.</x:v>
      </x:c>
      <x:c r="B59" s="120" t="str">
        <x:v>The device offers or opens the appropriate installed map application with the correct location.</x:v>
      </x:c>
      <x:c r="C59" s="124" t="str">
        <x:v>P1</x:v>
      </x:c>
      <x:c r="D59" s="120" t="str">
        <x:v>iOS and Android</x:v>
      </x:c>
      <x:c r="E59" s="120" t="str">
        <x:v>Pin with a saved location.</x:v>
      </x:c>
      <x:c r="F59" s="120"/>
      <x:c r="G59" s="120"/>
      <x:c r="H59" s="120"/>
      <x:c r="I59" s="120"/>
      <x:c r="J59" s="120"/>
      <x:c r="K59" s="120"/>
    </x:row>
    <x:row r="60" ht="43.5" customHeight="1">
      <x:c r="A60" s="120" t="str">
        <x:v>PIN-08 Add, complete and delete checklist items in My Checklist and Trip Checklist.</x:v>
      </x:c>
      <x:c r="B60" s="120" t="str">
        <x:v>My Checklist filters to the current user; Trip Checklist shows all trip items and empty states appear correctly.</x:v>
      </x:c>
      <x:c r="C60" s="124" t="str">
        <x:v>P1</x:v>
      </x:c>
      <x:c r="D60" s="120" t="str">
        <x:v>Two accounts</x:v>
      </x:c>
      <x:c r="E60" s="120" t="str">
        <x:v>Shared trip.</x:v>
      </x:c>
      <x:c r="F60" s="120"/>
      <x:c r="G60" s="120"/>
      <x:c r="H60" s="120"/>
      <x:c r="I60" s="120"/>
      <x:c r="J60" s="120"/>
      <x:c r="K60" s="120"/>
    </x:row>
    <x:row r="61" ht="43.5" customHeight="1">
      <x:c r="A61" s="120" t="str">
        <x:v>PIN-09 Add a note and a reference link at trip and pin level.</x:v>
      </x:c>
      <x:c r="B61" s="120" t="str">
        <x:v>Content appears in the correct scope, creator labels consistently use You for the current user and links open correctly.</x:v>
      </x:c>
      <x:c r="C61" s="124" t="str">
        <x:v>P1</x:v>
      </x:c>
      <x:c r="D61" s="120" t="str">
        <x:v>iOS and Android</x:v>
      </x:c>
      <x:c r="E61" s="120" t="str">
        <x:v>Existing trip and pin.</x:v>
      </x:c>
      <x:c r="F61" s="120"/>
      <x:c r="G61" s="120"/>
      <x:c r="H61" s="120"/>
      <x:c r="I61" s="120"/>
      <x:c r="J61" s="120"/>
      <x:c r="K61" s="120"/>
    </x:row>
    <x:row r="62" ht="43.5" customHeight="1">
      <x:c r="A62" s="120" t="str">
        <x:v>PIN-10 Open empty checklist, links, documents and images screens and an empty pin.</x:v>
      </x:c>
      <x:c r="B62" s="120" t="str">
        <x:v>Trip screens show useful empty states; empty pin sections do not render blank bordered wrappers.</x:v>
      </x:c>
      <x:c r="C62" s="124" t="str">
        <x:v>P2</x:v>
      </x:c>
      <x:c r="D62" s="120" t="str">
        <x:v>iOS and Android</x:v>
      </x:c>
      <x:c r="E62" s="120" t="str">
        <x:v>New empty trip and pin.</x:v>
      </x:c>
      <x:c r="F62" s="120"/>
      <x:c r="G62" s="120"/>
      <x:c r="H62" s="120"/>
      <x:c r="I62" s="120"/>
      <x:c r="J62" s="120"/>
      <x:c r="K62" s="120"/>
    </x:row>
    <x:row r="63" ht="19.5" customHeight="1">
      <x:c r="A63" s="129" t="str">
        <x:v>Trip Assistant workflow</x:v>
      </x:c>
      <x:c r="B63" s="129"/>
      <x:c r="C63" s="130"/>
      <x:c r="D63" s="129"/>
      <x:c r="E63" s="129"/>
      <x:c r="F63" s="129"/>
      <x:c r="G63" s="129"/>
      <x:c r="H63" s="129"/>
      <x:c r="I63" s="129"/>
      <x:c r="J63" s="129"/>
      <x:c r="K63" s="129"/>
    </x:row>
    <x:row r="64" ht="43.5" customHeight="1">
      <x:c r="A64" s="120" t="str">
        <x:v>AI-01 Open Trip Assistant with no recoverable session.</x:v>
      </x:c>
      <x:c r="B64" s="120" t="str">
        <x:v>The conversational intake starts with the destination question and the keyboard/input remain usable.</x:v>
      </x:c>
      <x:c r="C64" s="124" t="str">
        <x:v>P0</x:v>
      </x:c>
      <x:c r="D64" s="120" t="str">
        <x:v>iOS and Android</x:v>
      </x:c>
      <x:c r="E64" s="120" t="str">
        <x:v>Verified account with an available allowance.</x:v>
      </x:c>
      <x:c r="F64" s="120"/>
      <x:c r="G64" s="120"/>
      <x:c r="H64" s="120"/>
      <x:c r="I64" s="120"/>
      <x:c r="J64" s="120"/>
      <x:c r="K64" s="120"/>
    </x:row>
    <x:row r="65" ht="43.5" customHeight="1">
      <x:c r="A65" s="120" t="str">
        <x:v>AI-02 Enter destination text longer than the permitted limit.</x:v>
      </x:c>
      <x:c r="B65" s="120" t="str">
        <x:v>Validation blocks progress and explains the destination limit.</x:v>
      </x:c>
      <x:c r="C65" s="124" t="str">
        <x:v>P1</x:v>
      </x:c>
      <x:c r="D65" s="120" t="str">
        <x:v>iOS and Android</x:v>
      </x:c>
      <x:c r="E65" s="120" t="str">
        <x:v>Trip Assistant intake.</x:v>
      </x:c>
      <x:c r="F65" s="120"/>
      <x:c r="G65" s="120"/>
      <x:c r="H65" s="120"/>
      <x:c r="I65" s="120"/>
      <x:c r="J65" s="120"/>
      <x:c r="K65" s="120"/>
    </x:row>
    <x:row r="66" ht="43.5" customHeight="1">
      <x:c r="A66" s="120" t="str">
        <x:v>AI-03 Enter a valid start date using the date picker.</x:v>
      </x:c>
      <x:c r="B66" s="120" t="str">
        <x:v>The picker is centred on larger screens and the selected date appears correctly in the conversation.</x:v>
      </x:c>
      <x:c r="C66" s="124" t="str">
        <x:v>P1</x:v>
      </x:c>
      <x:c r="D66" s="120" t="str">
        <x:v>iPhone, iPad and Android</x:v>
      </x:c>
      <x:c r="E66" s="120" t="str">
        <x:v>Trip Assistant intake.</x:v>
      </x:c>
      <x:c r="F66" s="120"/>
      <x:c r="G66" s="120"/>
      <x:c r="H66" s="120"/>
      <x:c r="I66" s="120"/>
      <x:c r="J66" s="120"/>
      <x:c r="K66" s="120"/>
    </x:row>
    <x:row r="67" ht="43.5" customHeight="1">
      <x:c r="A67" s="120" t="str">
        <x:v>AI-04 Enter non-numeric, zero or invalid duration values.</x:v>
      </x:c>
      <x:c r="B67" s="120" t="str">
        <x:v>The same duration question remains active and shows a clear validation message.</x:v>
      </x:c>
      <x:c r="C67" s="124" t="str">
        <x:v>P0</x:v>
      </x:c>
      <x:c r="D67" s="120" t="str">
        <x:v>iOS and Android</x:v>
      </x:c>
      <x:c r="E67" s="120" t="str">
        <x:v>Trip Assistant intake.</x:v>
      </x:c>
      <x:c r="F67" s="120"/>
      <x:c r="G67" s="120"/>
      <x:c r="H67" s="120"/>
      <x:c r="I67" s="120"/>
      <x:c r="J67" s="120"/>
      <x:c r="K67" s="120"/>
    </x:row>
    <x:row r="68" ht="43.5" customHeight="1">
      <x:c r="A68" s="120" t="str">
        <x:v>AI-05 Enter a trip brief at and beyond the API length limit.</x:v>
      </x:c>
      <x:c r="B68" s="120" t="str">
        <x:v>A valid brief advances; an excessive brief is rejected before an API request is made.</x:v>
      </x:c>
      <x:c r="C68" s="124" t="str">
        <x:v>P1</x:v>
      </x:c>
      <x:c r="D68" s="120" t="str">
        <x:v>iOS and Android</x:v>
      </x:c>
      <x:c r="E68" s="120" t="str">
        <x:v>Trip Assistant intake.</x:v>
      </x:c>
      <x:c r="F68" s="120"/>
      <x:c r="G68" s="120"/>
      <x:c r="H68" s="120"/>
      <x:c r="I68" s="120"/>
      <x:c r="J68" s="120"/>
      <x:c r="K68" s="120"/>
    </x:row>
    <x:row r="69" ht="43.5" customHeight="1">
      <x:c r="A69" s="120" t="str">
        <x:v>AI-06 Review the completed intake summary and edit an earlier answer.</x:v>
      </x:c>
      <x:c r="B69" s="120" t="str">
        <x:v>The selected answer can be corrected without losing the other valid answers.</x:v>
      </x:c>
      <x:c r="C69" s="124" t="str">
        <x:v>P1</x:v>
      </x:c>
      <x:c r="D69" s="120" t="str">
        <x:v>iOS and Android</x:v>
      </x:c>
      <x:c r="E69" s="120" t="str">
        <x:v>Complete all intake questions.</x:v>
      </x:c>
      <x:c r="F69" s="120"/>
      <x:c r="G69" s="120"/>
      <x:c r="H69" s="120"/>
      <x:c r="I69" s="120"/>
      <x:c r="J69" s="120"/>
      <x:c r="K69" s="120"/>
    </x:row>
    <x:row r="70" ht="43.5" customHeight="1">
      <x:c r="A70" s="120" t="str">
        <x:v>AI-07 Submit a valid first planning request.</x:v>
      </x:c>
      <x:c r="B70" s="120" t="str">
        <x:v>A progress state appears, polling continues within its limit and exactly one planning session is created.</x:v>
      </x:c>
      <x:c r="C70" s="124" t="str">
        <x:v>P0</x:v>
      </x:c>
      <x:c r="D70" s="120" t="str">
        <x:v>iOS and Android</x:v>
      </x:c>
      <x:c r="E70" s="120" t="str">
        <x:v>Stable connection and available allowance.</x:v>
      </x:c>
      <x:c r="F70" s="120"/>
      <x:c r="G70" s="120"/>
      <x:c r="H70" s="120"/>
      <x:c r="I70" s="120"/>
      <x:c r="J70" s="120"/>
      <x:c r="K70" s="120"/>
    </x:row>
    <x:row r="71" ht="43.5" customHeight="1">
      <x:c r="A71" s="120" t="str">
        <x:v>AI-08 Background or force-quit the app while generation is running, then reopen it.</x:v>
      </x:c>
      <x:c r="B71" s="120" t="str">
        <x:v>The unfinished session is shown and Continue planning resumes the saved session rather than charging for another one.</x:v>
      </x:c>
      <x:c r="C71" s="124" t="str">
        <x:v>P0</x:v>
      </x:c>
      <x:c r="D71" s="120" t="str">
        <x:v>iOS and Android</x:v>
      </x:c>
      <x:c r="E71" s="120" t="str">
        <x:v>Planning job still running or recently completed.</x:v>
      </x:c>
      <x:c r="F71" s="120"/>
      <x:c r="G71" s="120"/>
      <x:c r="H71" s="120"/>
      <x:c r="I71" s="120"/>
      <x:c r="J71" s="120"/>
      <x:c r="K71" s="120"/>
    </x:row>
    <x:row r="72" ht="43.5" customHeight="1">
      <x:c r="A72" s="120" t="str">
        <x:v>AI-09 Tap Start a new trip instead on an unfinished session and cancel the confirmation.</x:v>
      </x:c>
      <x:c r="B72" s="120" t="str">
        <x:v>The pass warning appears and Keep current plan leaves the existing recovery session intact.</x:v>
      </x:c>
      <x:c r="C72" s="124" t="str">
        <x:v>P0</x:v>
      </x:c>
      <x:c r="D72" s="120" t="str">
        <x:v>iOS and Android</x:v>
      </x:c>
      <x:c r="E72" s="120" t="str">
        <x:v>Recoverable funded session.</x:v>
      </x:c>
      <x:c r="F72" s="120"/>
      <x:c r="G72" s="120"/>
      <x:c r="H72" s="120"/>
      <x:c r="I72" s="120"/>
      <x:c r="J72" s="120"/>
      <x:c r="K72" s="120"/>
    </x:row>
    <x:row r="73" ht="43.5" customHeight="1">
      <x:c r="A73" s="120" t="str">
        <x:v>AI-10 Confirm Start new plan from the unfinished-session warning.</x:v>
      </x:c>
      <x:c r="B73" s="120" t="str">
        <x:v>The local recovery record is discarded, the intake restarts and the message clearly explains that another pass is needed on submission.</x:v>
      </x:c>
      <x:c r="C73" s="124" t="str">
        <x:v>P0</x:v>
      </x:c>
      <x:c r="D73" s="120" t="str">
        <x:v>iOS and Android</x:v>
      </x:c>
      <x:c r="E73" s="120" t="str">
        <x:v>Recoverable funded session.</x:v>
      </x:c>
      <x:c r="F73" s="120"/>
      <x:c r="G73" s="120"/>
      <x:c r="H73" s="120"/>
      <x:c r="I73" s="120"/>
      <x:c r="J73" s="120"/>
      <x:c r="K73" s="120"/>
    </x:row>
    <x:row r="74" ht="43.5" customHeight="1">
      <x:c r="A74" s="120" t="str">
        <x:v>AI-11 Let automatic polling time out or temporarily break connectivity during polling.</x:v>
      </x:c>
      <x:c r="B74" s="120" t="str">
        <x:v>The UI explains the delay and Check again resumes polling without creating a duplicate session.</x:v>
      </x:c>
      <x:c r="C74" s="124" t="str">
        <x:v>P1</x:v>
      </x:c>
      <x:c r="D74" s="120" t="str">
        <x:v>iOS and Android</x:v>
      </x:c>
      <x:c r="E74" s="120" t="str">
        <x:v>Use network controls or a deliberately slow test job.</x:v>
      </x:c>
      <x:c r="F74" s="120"/>
      <x:c r="G74" s="120"/>
      <x:c r="H74" s="120"/>
      <x:c r="I74" s="120"/>
      <x:c r="J74" s="120"/>
      <x:c r="K74" s="120"/>
    </x:row>
    <x:row r="75" ht="43.5" customHeight="1">
      <x:c r="A75" s="120" t="str">
        <x:v>AI-12 Review a completed draft across all day accordions.</x:v>
      </x:c>
      <x:c r="B75" s="120" t="str">
        <x:v>The summary, itinerary, mapped category badges, reasons, links and checklist render without overflow or fabricated required fields.</x:v>
      </x:c>
      <x:c r="C75" s="124" t="str">
        <x:v>P0</x:v>
      </x:c>
      <x:c r="D75" s="120" t="str">
        <x:v>iPhone, iPad and Android</x:v>
      </x:c>
      <x:c r="E75" s="120" t="str">
        <x:v>Completed multi-day draft.</x:v>
      </x:c>
      <x:c r="F75" s="120"/>
      <x:c r="G75" s="120"/>
      <x:c r="H75" s="120"/>
      <x:c r="I75" s="120"/>
      <x:c r="J75" s="120"/>
      <x:c r="K75" s="120"/>
    </x:row>
    <x:row r="76" ht="43.5" customHeight="1">
      <x:c r="A76" s="120" t="str">
        <x:v>AI-13 Select and deselect itinerary and checklist suggestions.</x:v>
      </x:c>
      <x:c r="B76" s="120" t="str">
        <x:v>Checkbox styling clearly reflects selection, defaults are selected and the chosen set is preserved until import.</x:v>
      </x:c>
      <x:c r="C76" s="124" t="str">
        <x:v>P1</x:v>
      </x:c>
      <x:c r="D76" s="120" t="str">
        <x:v>iOS and Android</x:v>
      </x:c>
      <x:c r="E76" s="120" t="str">
        <x:v>Completed draft.</x:v>
      </x:c>
      <x:c r="F76" s="120"/>
      <x:c r="G76" s="120"/>
      <x:c r="H76" s="120"/>
      <x:c r="I76" s="120"/>
      <x:c r="J76" s="120"/>
      <x:c r="K76" s="120"/>
    </x:row>
    <x:row r="77" ht="43.5" customHeight="1">
      <x:c r="A77" s="120" t="str">
        <x:v>AI-14 Request a refinement and wait for the revised draft.</x:v>
      </x:c>
      <x:c r="B77" s="120" t="str">
        <x:v>The feedback appears in chat, progress is visible and the next revision replaces the draft without charging another pass.</x:v>
      </x:c>
      <x:c r="C77" s="124" t="str">
        <x:v>P0</x:v>
      </x:c>
      <x:c r="D77" s="120" t="str">
        <x:v>iOS and Android</x:v>
      </x:c>
      <x:c r="E77" s="120" t="str">
        <x:v>Completed draft with refinement allowance remaining.</x:v>
      </x:c>
      <x:c r="F77" s="120"/>
      <x:c r="G77" s="120"/>
      <x:c r="H77" s="120"/>
      <x:c r="I77" s="120"/>
      <x:c r="J77" s="120"/>
      <x:c r="K77" s="120"/>
    </x:row>
    <x:row r="78" ht="43.5" customHeight="1">
      <x:c r="A78" s="120" t="str">
        <x:v>AI-15 Accept the reviewed draft and create the trip.</x:v>
      </x:c>
      <x:c r="B78" s="120" t="str">
        <x:v>One trip is created with selected pins, locations, notes, links and checklist items; repeated taps do not duplicate content.</x:v>
      </x:c>
      <x:c r="C78" s="124" t="str">
        <x:v>P0</x:v>
      </x:c>
      <x:c r="D78" s="120" t="str">
        <x:v>iOS and Android</x:v>
      </x:c>
      <x:c r="E78" s="120" t="str">
        <x:v>Completed draft with a subset selected.</x:v>
      </x:c>
      <x:c r="F78" s="120"/>
      <x:c r="G78" s="120"/>
      <x:c r="H78" s="120"/>
      <x:c r="I78" s="120"/>
      <x:c r="J78" s="120"/>
      <x:c r="K78" s="120"/>
    </x:row>
    <x:row r="79" ht="19.5" customHeight="1">
      <x:c r="A79" s="129" t="str">
        <x:v>Trip Assistant Passes and purchases</x:v>
      </x:c>
      <x:c r="B79" s="129"/>
      <x:c r="C79" s="130"/>
      <x:c r="D79" s="129"/>
      <x:c r="E79" s="129"/>
      <x:c r="F79" s="129"/>
      <x:c r="G79" s="129"/>
      <x:c r="H79" s="129"/>
      <x:c r="I79" s="129"/>
      <x:c r="J79" s="129"/>
      <x:c r="K79" s="129"/>
    </x:row>
    <x:row r="80" ht="43.5" customHeight="1">
      <x:c r="A80" s="120" t="str">
        <x:v>PAY-01 Open Settings with a fresh verified account.</x:v>
      </x:c>
      <x:c r="B80" s="120" t="str">
        <x:v>The pass card includes the complimentary allowance in the displayed total.</x:v>
      </x:c>
      <x:c r="C80" s="124" t="str">
        <x:v>P0</x:v>
      </x:c>
      <x:c r="D80" s="120" t="str">
        <x:v>iOS and Android</x:v>
      </x:c>
      <x:c r="E80" s="120" t="str">
        <x:v>Account with unused complimentary allowance.</x:v>
      </x:c>
      <x:c r="F80" s="120"/>
      <x:c r="G80" s="120"/>
      <x:c r="H80" s="120"/>
      <x:c r="I80" s="120"/>
      <x:c r="J80" s="120"/>
      <x:c r="K80" s="120"/>
    </x:row>
    <x:row r="81" ht="43.5" customHeight="1">
      <x:c r="A81" s="120" t="str">
        <x:v>PAY-02 Use the complimentary planning session.</x:v>
      </x:c>
      <x:c r="B81" s="120" t="str">
        <x:v>The server claims it once, starts the session and the displayed available balance updates after refresh.</x:v>
      </x:c>
      <x:c r="C81" s="124" t="str">
        <x:v>P0</x:v>
      </x:c>
      <x:c r="D81" s="120" t="str">
        <x:v>iOS and Android</x:v>
      </x:c>
      <x:c r="E81" s="120" t="str">
        <x:v>Fresh verified account.</x:v>
      </x:c>
      <x:c r="F81" s="120"/>
      <x:c r="G81" s="120"/>
      <x:c r="H81" s="120"/>
      <x:c r="I81" s="120"/>
      <x:c r="J81" s="120"/>
      <x:c r="K81" s="120"/>
    </x:row>
    <x:row r="82" ht="43.5" customHeight="1">
      <x:c r="A82" s="120" t="str">
        <x:v>PAY-03 Try to start a new session with no complimentary or purchased passes.</x:v>
      </x:c>
      <x:c r="B82" s="120" t="str">
        <x:v>The app shows the RevenueCat paywall instead of starting generation.</x:v>
      </x:c>
      <x:c r="C82" s="124" t="str">
        <x:v>P0</x:v>
      </x:c>
      <x:c r="D82" s="120" t="str">
        <x:v>iOS and Android</x:v>
      </x:c>
      <x:c r="E82" s="120" t="str">
        <x:v>No-pass account.</x:v>
      </x:c>
      <x:c r="F82" s="120"/>
      <x:c r="G82" s="120"/>
      <x:c r="H82" s="120"/>
      <x:c r="I82" s="120"/>
      <x:c r="J82" s="120"/>
      <x:c r="K82" s="120"/>
    </x:row>
    <x:row r="83" ht="43.5" customHeight="1">
      <x:c r="A83" s="120" t="str">
        <x:v>PAY-04 Close the paywall without purchasing.</x:v>
      </x:c>
      <x:c r="B83" s="120" t="str">
        <x:v>The intake answers remain available and no purchase or planning session is created.</x:v>
      </x:c>
      <x:c r="C83" s="124" t="str">
        <x:v>P0</x:v>
      </x:c>
      <x:c r="D83" s="120" t="str">
        <x:v>iOS and Android</x:v>
      </x:c>
      <x:c r="E83" s="120" t="str">
        <x:v>No-pass account.</x:v>
      </x:c>
      <x:c r="F83" s="120"/>
      <x:c r="G83" s="120"/>
      <x:c r="H83" s="120"/>
      <x:c r="I83" s="120"/>
      <x:c r="J83" s="120"/>
      <x:c r="K83" s="120"/>
    </x:row>
    <x:row r="84" ht="43.5" customHeight="1">
      <x:c r="A84" s="120" t="str">
        <x:v>PAY-05 Purchase the single-pass package through Apple or Google sandbox billing.</x:v>
      </x:c>
      <x:c r="B84" s="120" t="str">
        <x:v>The native purchase succeeds, RevenueCat grants the correct currency and the app can retry the pending plan.</x:v>
      </x:c>
      <x:c r="C84" s="124" t="str">
        <x:v>P0</x:v>
      </x:c>
      <x:c r="D84" s="120" t="str">
        <x:v>iOS and Android</x:v>
      </x:c>
      <x:c r="E84" s="120" t="str">
        <x:v>Sandbox tester and store-linked production product.</x:v>
      </x:c>
      <x:c r="F84" s="120"/>
      <x:c r="G84" s="120"/>
      <x:c r="H84" s="120"/>
      <x:c r="I84" s="120"/>
      <x:c r="J84" s="120"/>
      <x:c r="K84" s="120"/>
    </x:row>
    <x:row r="85" ht="43.5" customHeight="1">
      <x:c r="A85" s="120" t="str">
        <x:v>PAY-06 Purchase the five-pass bundle.</x:v>
      </x:c>
      <x:c r="B85" s="120" t="str">
        <x:v>The displayed localised price matches the store, five passes are granted and the paywall closes successfully.</x:v>
      </x:c>
      <x:c r="C85" s="124" t="str">
        <x:v>P0</x:v>
      </x:c>
      <x:c r="D85" s="120" t="str">
        <x:v>iOS and Android</x:v>
      </x:c>
      <x:c r="E85" s="120" t="str">
        <x:v>Sandbox tester and store-linked bundle.</x:v>
      </x:c>
      <x:c r="F85" s="120"/>
      <x:c r="G85" s="120"/>
      <x:c r="H85" s="120"/>
      <x:c r="I85" s="120"/>
      <x:c r="J85" s="120"/>
      <x:c r="K85" s="120"/>
    </x:row>
    <x:row r="86" ht="43.5" customHeight="1">
      <x:c r="A86" s="120" t="str">
        <x:v>PAY-07 Start a funded session when exactly one purchased pass remains.</x:v>
      </x:c>
      <x:c r="B86" s="120" t="str">
        <x:v>The session starts, RevenueCat reaches a zero balance and the API does not report a false debit failure.</x:v>
      </x:c>
      <x:c r="C86" s="124" t="str">
        <x:v>P0</x:v>
      </x:c>
      <x:c r="D86" s="120" t="str">
        <x:v>iOS and Android</x:v>
      </x:c>
      <x:c r="E86" s="120" t="str">
        <x:v>Account with exactly one purchased pass.</x:v>
      </x:c>
      <x:c r="F86" s="120"/>
      <x:c r="G86" s="120"/>
      <x:c r="H86" s="120"/>
      <x:c r="I86" s="120"/>
      <x:c r="J86" s="120"/>
      <x:c r="K86" s="120"/>
    </x:row>
    <x:row r="87" ht="43.5" customHeight="1">
      <x:c r="A87" s="120" t="str">
        <x:v>PAY-08 Sign into the same Wafflelog account on another device after purchase or spend.</x:v>
      </x:c>
      <x:c r="B87" s="120" t="str">
        <x:v>Both devices resolve the same RevenueCat customer and show the refreshed combined pass balance without cross-account leakage.</x:v>
      </x:c>
      <x:c r="C87" s="124" t="str">
        <x:v>P0</x:v>
      </x:c>
      <x:c r="D87" s="120" t="str">
        <x:v>Two devices</x:v>
      </x:c>
      <x:c r="E87" s="120" t="str">
        <x:v>One account on both devices plus a second control account.</x:v>
      </x:c>
      <x:c r="F87" s="120"/>
      <x:c r="G87" s="120"/>
      <x:c r="H87" s="120"/>
      <x:c r="I87" s="120"/>
      <x:c r="J87" s="120"/>
      <x:c r="K87" s="120"/>
    </x:row>
    <x:row r="88" ht="19.5" customHeight="1">
      <x:c r="A88" s="129" t="str">
        <x:v>Companions and permissions</x:v>
      </x:c>
      <x:c r="B88" s="129"/>
      <x:c r="C88" s="130"/>
      <x:c r="D88" s="129"/>
      <x:c r="E88" s="129"/>
      <x:c r="F88" s="129"/>
      <x:c r="G88" s="129"/>
      <x:c r="H88" s="129"/>
      <x:c r="I88" s="129"/>
      <x:c r="J88" s="129"/>
      <x:c r="K88" s="129"/>
    </x:row>
    <x:row r="89" ht="43.5" customHeight="1">
      <x:c r="A89" s="120" t="str">
        <x:v>COL-01 Search for another user and send a trip invitation.</x:v>
      </x:c>
      <x:c r="B89" s="120" t="str">
        <x:v>The invitation appears as pending for the owner and the invitee receives the matching notification.</x:v>
      </x:c>
      <x:c r="C89" s="124" t="str">
        <x:v>P0</x:v>
      </x:c>
      <x:c r="D89" s="120" t="str">
        <x:v>Two accounts</x:v>
      </x:c>
      <x:c r="E89" s="120" t="str">
        <x:v>Owner and invitee accounts.</x:v>
      </x:c>
      <x:c r="F89" s="120"/>
      <x:c r="G89" s="120"/>
      <x:c r="H89" s="120"/>
      <x:c r="I89" s="120"/>
      <x:c r="J89" s="120"/>
      <x:c r="K89" s="120"/>
    </x:row>
    <x:row r="90" ht="43.5" customHeight="1">
      <x:c r="A90" s="120" t="str">
        <x:v>COL-02 Accept a trip invitation from Notification Centre.</x:v>
      </x:c>
      <x:c r="B90" s="120" t="str">
        <x:v>The trip downloads, membership becomes active and the owner receives an accepted notification.</x:v>
      </x:c>
      <x:c r="C90" s="124" t="str">
        <x:v>P0</x:v>
      </x:c>
      <x:c r="D90" s="120" t="str">
        <x:v>Two devices</x:v>
      </x:c>
      <x:c r="E90" s="120" t="str">
        <x:v>Pending invitation.</x:v>
      </x:c>
      <x:c r="F90" s="120"/>
      <x:c r="G90" s="120"/>
      <x:c r="H90" s="120"/>
      <x:c r="I90" s="120"/>
      <x:c r="J90" s="120"/>
      <x:c r="K90" s="120"/>
    </x:row>
    <x:row r="91" ht="43.5" customHeight="1">
      <x:c r="A91" s="120" t="str">
        <x:v>COL-03 Reject a trip invitation.</x:v>
      </x:c>
      <x:c r="B91" s="120" t="str">
        <x:v>The invitation becomes declined, no trip access is granted and the owner sees the correct status/notification.</x:v>
      </x:c>
      <x:c r="C91" s="124" t="str">
        <x:v>P1</x:v>
      </x:c>
      <x:c r="D91" s="120" t="str">
        <x:v>Two accounts</x:v>
      </x:c>
      <x:c r="E91" s="120" t="str">
        <x:v>Pending invitation.</x:v>
      </x:c>
      <x:c r="F91" s="120"/>
      <x:c r="G91" s="120"/>
      <x:c r="H91" s="120"/>
      <x:c r="I91" s="120"/>
      <x:c r="J91" s="120"/>
      <x:c r="K91" s="120"/>
    </x:row>
    <x:row r="92" ht="43.5" customHeight="1">
      <x:c r="A92" s="120" t="str">
        <x:v>COL-04 Withdraw a pending invitation as the owner.</x:v>
      </x:c>
      <x:c r="B92" s="120" t="str">
        <x:v>The invitation no longer grants an action to the invitee and the companion list updates.</x:v>
      </x:c>
      <x:c r="C92" s="124" t="str">
        <x:v>P1</x:v>
      </x:c>
      <x:c r="D92" s="120" t="str">
        <x:v>Two accounts</x:v>
      </x:c>
      <x:c r="E92" s="120" t="str">
        <x:v>Pending invitation.</x:v>
      </x:c>
      <x:c r="F92" s="120"/>
      <x:c r="G92" s="120"/>
      <x:c r="H92" s="120"/>
      <x:c r="I92" s="120"/>
      <x:c r="J92" s="120"/>
      <x:c r="K92" s="120"/>
    </x:row>
    <x:row r="93" ht="43.5" customHeight="1">
      <x:c r="A93" s="120" t="str">
        <x:v>COL-05 Edit shared trip content as an active companion.</x:v>
      </x:c>
      <x:c r="B93" s="120" t="str">
        <x:v>Permitted content changes save locally, sync remotely and identify the correct creator on the owner device.</x:v>
      </x:c>
      <x:c r="C93" s="124" t="str">
        <x:v>P0</x:v>
      </x:c>
      <x:c r="D93" s="120" t="str">
        <x:v>Two devices</x:v>
      </x:c>
      <x:c r="E93" s="120" t="str">
        <x:v>Accepted companion.</x:v>
      </x:c>
      <x:c r="F93" s="120"/>
      <x:c r="G93" s="120"/>
      <x:c r="H93" s="120"/>
      <x:c r="I93" s="120"/>
      <x:c r="J93" s="120"/>
      <x:c r="K93" s="120"/>
    </x:row>
    <x:row r="94" ht="43.5" customHeight="1">
      <x:c r="A94" s="120" t="str">
        <x:v>COL-06 Open the companion list as a non-owner.</x:v>
      </x:c>
      <x:c r="B94" s="120" t="str">
        <x:v>Owner-only invite, disable and restore controls are hidden; Leave trip remains available.</x:v>
      </x:c>
      <x:c r="C94" s="124" t="str">
        <x:v>P0</x:v>
      </x:c>
      <x:c r="D94" s="120" t="str">
        <x:v>Companion device</x:v>
      </x:c>
      <x:c r="E94" s="120" t="str">
        <x:v>Accepted companion.</x:v>
      </x:c>
      <x:c r="F94" s="120"/>
      <x:c r="G94" s="120"/>
      <x:c r="H94" s="120"/>
      <x:c r="I94" s="120"/>
      <x:c r="J94" s="120"/>
      <x:c r="K94" s="120"/>
    </x:row>
    <x:row r="95" ht="43.5" customHeight="1">
      <x:c r="A95" s="120" t="str">
        <x:v>COL-07 Disable an active companion and cancel the confirmation.</x:v>
      </x:c>
      <x:c r="B95" s="120" t="str">
        <x:v>The warning explains that content remains and cancellation leaves access unchanged.</x:v>
      </x:c>
      <x:c r="C95" s="124" t="str">
        <x:v>P1</x:v>
      </x:c>
      <x:c r="D95" s="120" t="str">
        <x:v>Owner device</x:v>
      </x:c>
      <x:c r="E95" s="120" t="str">
        <x:v>Accepted companion.</x:v>
      </x:c>
      <x:c r="F95" s="120"/>
      <x:c r="G95" s="120"/>
      <x:c r="H95" s="120"/>
      <x:c r="I95" s="120"/>
      <x:c r="J95" s="120"/>
      <x:c r="K95" s="120"/>
    </x:row>
    <x:row r="96" ht="43.5" customHeight="1">
      <x:c r="A96" s="120" t="str">
        <x:v>COL-08 Confirm disabling an active companion.</x:v>
      </x:c>
      <x:c r="B96" s="120" t="str">
        <x:v>The companion loses remote access after refresh while their existing contributions remain in the trip.</x:v>
      </x:c>
      <x:c r="C96" s="124" t="str">
        <x:v>P0</x:v>
      </x:c>
      <x:c r="D96" s="120" t="str">
        <x:v>Two devices</x:v>
      </x:c>
      <x:c r="E96" s="120" t="str">
        <x:v>Accepted companion with created content.</x:v>
      </x:c>
      <x:c r="F96" s="120"/>
      <x:c r="G96" s="120"/>
      <x:c r="H96" s="120"/>
      <x:c r="I96" s="120"/>
      <x:c r="J96" s="120"/>
      <x:c r="K96" s="120"/>
    </x:row>
    <x:row r="97" ht="43.5" customHeight="1">
      <x:c r="A97" s="120" t="str">
        <x:v>COL-09 Restore an owner-disabled companion.</x:v>
      </x:c>
      <x:c r="B97" s="120" t="str">
        <x:v>Restore is offered only for owner-disabled membership and the companion regains access without another invitation.</x:v>
      </x:c>
      <x:c r="C97" s="124" t="str">
        <x:v>P0</x:v>
      </x:c>
      <x:c r="D97" s="120" t="str">
        <x:v>Two devices</x:v>
      </x:c>
      <x:c r="E97" s="120" t="str">
        <x:v>Complete COL-08 first.</x:v>
      </x:c>
      <x:c r="F97" s="120"/>
      <x:c r="G97" s="120"/>
      <x:c r="H97" s="120"/>
      <x:c r="I97" s="120"/>
      <x:c r="J97" s="120"/>
      <x:c r="K97" s="120"/>
    </x:row>
    <x:row r="98" ht="43.5" customHeight="1">
      <x:c r="A98" s="120" t="str">
        <x:v>COL-10 Leave a trip voluntarily as a companion.</x:v>
      </x:c>
      <x:c r="B98" s="120" t="str">
        <x:v>The companion loses access, local trip data is purged and their existing contributions remain for the trip.</x:v>
      </x:c>
      <x:c r="C98" s="124" t="str">
        <x:v>P0</x:v>
      </x:c>
      <x:c r="D98" s="120" t="str">
        <x:v>Two devices</x:v>
      </x:c>
      <x:c r="E98" s="120" t="str">
        <x:v>Accepted companion with created content.</x:v>
      </x:c>
      <x:c r="F98" s="120"/>
      <x:c r="G98" s="120"/>
      <x:c r="H98" s="120"/>
      <x:c r="I98" s="120"/>
      <x:c r="J98" s="120"/>
      <x:c r="K98" s="120"/>
    </x:row>
    <x:row r="99" ht="43.5" customHeight="1">
      <x:c r="A99" s="120" t="str">
        <x:v>COL-11 Re-invite a companion who voluntarily left and accept the new invitation.</x:v>
      </x:c>
      <x:c r="B99" s="120" t="str">
        <x:v>A fresh invitation is required and acceptance restores access without resurrecting stale offline changes from before rejoining.</x:v>
      </x:c>
      <x:c r="C99" s="124" t="str">
        <x:v>P0</x:v>
      </x:c>
      <x:c r="D99" s="120" t="str">
        <x:v>Two devices</x:v>
      </x:c>
      <x:c r="E99" s="120" t="str">
        <x:v>Complete COL-10 and make an offline stale change before rejoining.</x:v>
      </x:c>
      <x:c r="F99" s="120"/>
      <x:c r="G99" s="120"/>
      <x:c r="H99" s="120"/>
      <x:c r="I99" s="120"/>
      <x:c r="J99" s="120"/>
      <x:c r="K99" s="120"/>
    </x:row>
    <x:row r="100" ht="43.5" customHeight="1">
      <x:c r="A100" s="120" t="str">
        <x:v>COL-12 Open companion search with no query, then search for and invite a matching username.</x:v>
      </x:c>
      <x:c r="B100" s="120" t="str">
        <x:v>No user records appear before text is entered; matching results appear after search and a successful invite returns to the companion screen.</x:v>
      </x:c>
      <x:c r="C100" s="124" t="str">
        <x:v>P0</x:v>
      </x:c>
      <x:c r="D100" s="120" t="str">
        <x:v>iOS and Android</x:v>
      </x:c>
      <x:c r="E100" s="120" t="str">
        <x:v>Trip owner and an inviteable second account.</x:v>
      </x:c>
      <x:c r="F100" s="120"/>
      <x:c r="G100" s="120"/>
      <x:c r="H100" s="120"/>
      <x:c r="I100" s="120"/>
      <x:c r="J100" s="120"/>
      <x:c r="K100" s="120"/>
    </x:row>
    <x:row r="101" ht="19.5" customHeight="1">
      <x:c r="A101" s="129" t="str">
        <x:v>Push and in-app notifications</x:v>
      </x:c>
      <x:c r="B101" s="129"/>
      <x:c r="C101" s="130"/>
      <x:c r="D101" s="129"/>
      <x:c r="E101" s="129"/>
      <x:c r="F101" s="129"/>
      <x:c r="G101" s="129"/>
      <x:c r="H101" s="129"/>
      <x:c r="I101" s="129"/>
      <x:c r="J101" s="129"/>
      <x:c r="K101" s="129"/>
    </x:row>
    <x:row r="102" ht="43.5" customHeight="1">
      <x:c r="A102" s="120" t="str">
        <x:v>NOTIF-01 Grant notification permission on a physical device.</x:v>
      </x:c>
      <x:c r="B102" s="120" t="str">
        <x:v>An Expo push token is registered for the signed-in user and Settings reports notifications as On.</x:v>
      </x:c>
      <x:c r="C102" s="124" t="str">
        <x:v>P0</x:v>
      </x:c>
      <x:c r="D102" s="120" t="str">
        <x:v>Physical iOS and Android</x:v>
      </x:c>
      <x:c r="E102" s="120" t="str">
        <x:v>Fresh install or reset OS permission.</x:v>
      </x:c>
      <x:c r="F102" s="120"/>
      <x:c r="G102" s="120"/>
      <x:c r="H102" s="120"/>
      <x:c r="I102" s="120"/>
      <x:c r="J102" s="120"/>
      <x:c r="K102" s="120"/>
    </x:row>
    <x:row r="103" ht="43.5" customHeight="1">
      <x:c r="A103" s="120" t="str">
        <x:v>NOTIF-02 Deny notification permission, then use Settings to manage it.</x:v>
      </x:c>
      <x:c r="B103" s="120" t="str">
        <x:v>The app remains usable, reports the disabled state and opens system settings when appropriate.</x:v>
      </x:c>
      <x:c r="C103" s="124" t="str">
        <x:v>P1</x:v>
      </x:c>
      <x:c r="D103" s="120" t="str">
        <x:v>Physical iOS and Android</x:v>
      </x:c>
      <x:c r="E103" s="120" t="str">
        <x:v>Fresh permission state.</x:v>
      </x:c>
      <x:c r="F103" s="120"/>
      <x:c r="G103" s="120"/>
      <x:c r="H103" s="120"/>
      <x:c r="I103" s="120"/>
      <x:c r="J103" s="120"/>
      <x:c r="K103" s="120"/>
    </x:row>
    <x:row r="104" ht="43.5" customHeight="1">
      <x:c r="A104" s="120" t="str">
        <x:v>NOTIF-03 Receive trip invitation and invitation-accepted pushes while the app is backgrounded.</x:v>
      </x:c>
      <x:c r="B104" s="120" t="str">
        <x:v>The OS presents one correctly worded push to the intended user for each event.</x:v>
      </x:c>
      <x:c r="C104" s="124" t="str">
        <x:v>P0</x:v>
      </x:c>
      <x:c r="D104" s="120" t="str">
        <x:v>Two physical devices</x:v>
      </x:c>
      <x:c r="E104" s="120" t="str">
        <x:v>Push permission enabled.</x:v>
      </x:c>
      <x:c r="F104" s="120"/>
      <x:c r="G104" s="120"/>
      <x:c r="H104" s="120"/>
      <x:c r="I104" s="120"/>
      <x:c r="J104" s="120"/>
      <x:c r="K104" s="120"/>
    </x:row>
    <x:row r="105" ht="43.5" customHeight="1">
      <x:c r="A105" s="120" t="str">
        <x:v>NOTIF-04 Add an expense and update trip dates from another editor.</x:v>
      </x:c>
      <x:c r="B105" s="120" t="str">
        <x:v>Expense added and trip updated each create both in-app notifications and push notifications for other active members.</x:v>
      </x:c>
      <x:c r="C105" s="124" t="str">
        <x:v>P0</x:v>
      </x:c>
      <x:c r="D105" s="120" t="str">
        <x:v>Two physical devices</x:v>
      </x:c>
      <x:c r="E105" s="120" t="str">
        <x:v>Shared trip and push permission enabled.</x:v>
      </x:c>
      <x:c r="F105" s="120"/>
      <x:c r="G105" s="120"/>
      <x:c r="H105" s="120"/>
      <x:c r="I105" s="120"/>
      <x:c r="J105" s="120"/>
      <x:c r="K105" s="120"/>
    </x:row>
    <x:row r="106" ht="43.5" customHeight="1">
      <x:c r="A106" s="120" t="str">
        <x:v>NOTIF-05 Add a note from another editor.</x:v>
      </x:c>
      <x:c r="B106" s="120" t="str">
        <x:v>The notification appears in Notification Centre and increments its unread state without sending a push.</x:v>
      </x:c>
      <x:c r="C106" s="124" t="str">
        <x:v>P1</x:v>
      </x:c>
      <x:c r="D106" s="120" t="str">
        <x:v>Two devices</x:v>
      </x:c>
      <x:c r="E106" s="120" t="str">
        <x:v>Shared trip.</x:v>
      </x:c>
      <x:c r="F106" s="120"/>
      <x:c r="G106" s="120"/>
      <x:c r="H106" s="120"/>
      <x:c r="I106" s="120"/>
      <x:c r="J106" s="120"/>
      <x:c r="K106" s="120"/>
    </x:row>
    <x:row r="107" ht="43.5" customHeight="1">
      <x:c r="A107" s="120" t="str">
        <x:v>NOTIF-06 Open Notification Centre after another device creates a notification.</x:v>
      </x:c>
      <x:c r="B107" s="120" t="str">
        <x:v>The list refreshes on focus without requiring a whole-app restart or manual pull-to-refresh.</x:v>
      </x:c>
      <x:c r="C107" s="124" t="str">
        <x:v>P0</x:v>
      </x:c>
      <x:c r="D107" s="120" t="str">
        <x:v>Two devices</x:v>
      </x:c>
      <x:c r="E107" s="120" t="str">
        <x:v>Unread remote notification.</x:v>
      </x:c>
      <x:c r="F107" s="120"/>
      <x:c r="G107" s="120"/>
      <x:c r="H107" s="120"/>
      <x:c r="I107" s="120"/>
      <x:c r="J107" s="120"/>
      <x:c r="K107" s="120"/>
    </x:row>
    <x:row r="108" ht="43.5" customHeight="1">
      <x:c r="A108" s="120" t="str">
        <x:v>NOTIF-07 Leave unread notifications visible for at least half a second.</x:v>
      </x:c>
      <x:c r="B108" s="120" t="str">
        <x:v>Visible notifications are marked read in a batch and the home badge decreases without requiring invitation acceptance/rejection.</x:v>
      </x:c>
      <x:c r="C108" s="124" t="str">
        <x:v>P1</x:v>
      </x:c>
      <x:c r="D108" s="120" t="str">
        <x:v>iOS and Android</x:v>
      </x:c>
      <x:c r="E108" s="120" t="str">
        <x:v>Several unread notification types.</x:v>
      </x:c>
      <x:c r="F108" s="120"/>
      <x:c r="G108" s="120"/>
      <x:c r="H108" s="120"/>
      <x:c r="I108" s="120"/>
      <x:c r="J108" s="120"/>
      <x:c r="K108" s="120"/>
    </x:row>
    <x:row r="109" ht="43.5" customHeight="1">
      <x:c r="A109" s="120" t="str">
        <x:v>NOTIF-08 Sign into the same account on two physical devices and trigger one notification.</x:v>
      </x:c>
      <x:c r="B109" s="120" t="str">
        <x:v>Every currently registered device token receives the push; stale-token failures do not prevent delivery to valid devices.</x:v>
      </x:c>
      <x:c r="C109" s="124" t="str">
        <x:v>P1</x:v>
      </x:c>
      <x:c r="D109" s="120" t="str">
        <x:v>Two physical devices</x:v>
      </x:c>
      <x:c r="E109" s="120" t="str">
        <x:v>Same account registered on both devices.</x:v>
      </x:c>
      <x:c r="F109" s="120"/>
      <x:c r="G109" s="120"/>
      <x:c r="H109" s="120"/>
      <x:c r="I109" s="120"/>
      <x:c r="J109" s="120"/>
      <x:c r="K109" s="120"/>
    </x:row>
    <x:row r="110" ht="19.5" customHeight="1">
      <x:c r="A110" s="129" t="str">
        <x:v>Expenses and shared balances</x:v>
      </x:c>
      <x:c r="B110" s="129"/>
      <x:c r="C110" s="130"/>
      <x:c r="D110" s="129"/>
      <x:c r="E110" s="129"/>
      <x:c r="F110" s="129"/>
      <x:c r="G110" s="129"/>
      <x:c r="H110" s="129"/>
      <x:c r="I110" s="129"/>
      <x:c r="J110" s="129"/>
      <x:c r="K110" s="129"/>
    </x:row>
    <x:row r="111" ht="43.5" customHeight="1">
      <x:c r="A111" s="120" t="str">
        <x:v>EXP-01 Add an expense and split it equally among all active trip members.</x:v>
      </x:c>
      <x:c r="B111" s="120" t="str">
        <x:v>Paid by defaults appropriately, every active member is selectable and allocations total exactly to the expense.</x:v>
      </x:c>
      <x:c r="C111" s="124" t="str">
        <x:v>P0</x:v>
      </x:c>
      <x:c r="D111" s="120" t="str">
        <x:v>Two accounts</x:v>
      </x:c>
      <x:c r="E111" s="120" t="str">
        <x:v>Shared trip with at least three members if possible.</x:v>
      </x:c>
      <x:c r="F111" s="120"/>
      <x:c r="G111" s="120"/>
      <x:c r="H111" s="120"/>
      <x:c r="I111" s="120"/>
      <x:c r="J111" s="120"/>
      <x:c r="K111" s="120"/>
    </x:row>
    <x:row r="112" ht="43.5" customHeight="1">
      <x:c r="A112" s="120" t="str">
        <x:v>EXP-02 Exclude the payer or another member from an expense split.</x:v>
      </x:c>
      <x:c r="B112" s="120" t="str">
        <x:v>Only selected participants receive a share and the resulting balances remain mathematically correct.</x:v>
      </x:c>
      <x:c r="C112" s="124" t="str">
        <x:v>P1</x:v>
      </x:c>
      <x:c r="D112" s="120" t="str">
        <x:v>iOS and Android</x:v>
      </x:c>
      <x:c r="E112" s="120" t="str">
        <x:v>Shared trip.</x:v>
      </x:c>
      <x:c r="F112" s="120"/>
      <x:c r="G112" s="120"/>
      <x:c r="H112" s="120"/>
      <x:c r="I112" s="120"/>
      <x:c r="J112" s="120"/>
      <x:c r="K112" s="120"/>
    </x:row>
    <x:row r="113" ht="43.5" customHeight="1">
      <x:c r="A113" s="120" t="str">
        <x:v>EXP-03 Review the trip expense dashboard for one currency.</x:v>
      </x:c>
      <x:c r="B113" s="120" t="str">
        <x:v>Trip spend, You paid and Your cost are clear; per-person owed/owing balances and item breakdowns reconcile.</x:v>
      </x:c>
      <x:c r="C113" s="124" t="str">
        <x:v>P0</x:v>
      </x:c>
      <x:c r="D113" s="120" t="str">
        <x:v>iOS and Android</x:v>
      </x:c>
      <x:c r="E113" s="120" t="str">
        <x:v>Several expenses with different payers.</x:v>
      </x:c>
      <x:c r="F113" s="120"/>
      <x:c r="G113" s="120"/>
      <x:c r="H113" s="120"/>
      <x:c r="I113" s="120"/>
      <x:c r="J113" s="120"/>
      <x:c r="K113" s="120"/>
    </x:row>
    <x:row r="114" ht="43.5" customHeight="1">
      <x:c r="A114" s="120" t="str">
        <x:v>EXP-04 Record expenses in two currencies.</x:v>
      </x:c>
      <x:c r="B114" s="120" t="str">
        <x:v>Each currency has a separate ledger and no automatic conversion or combined balance is shown.</x:v>
      </x:c>
      <x:c r="C114" s="124" t="str">
        <x:v>P0</x:v>
      </x:c>
      <x:c r="D114" s="120" t="str">
        <x:v>iOS and Android</x:v>
      </x:c>
      <x:c r="E114" s="120" t="str">
        <x:v>Use GBP and EUR test expenses.</x:v>
      </x:c>
      <x:c r="F114" s="120"/>
      <x:c r="G114" s="120"/>
      <x:c r="H114" s="120"/>
      <x:c r="I114" s="120"/>
      <x:c r="J114" s="120"/>
      <x:c r="K114" s="120"/>
    </x:row>
    <x:row r="115" ht="43.5" customHeight="1">
      <x:c r="A115" s="120" t="str">
        <x:v>EXP-05 Review pin-level expense cards.</x:v>
      </x:c>
      <x:c r="B115" s="120" t="str">
        <x:v>Amount aligns correctly; paid by and recorded by use separate lines; split details are compact and hidden for a one-person expense.</x:v>
      </x:c>
      <x:c r="C115" s="124" t="str">
        <x:v>P1</x:v>
      </x:c>
      <x:c r="D115" s="120" t="str">
        <x:v>iPhone, iPad and Android</x:v>
      </x:c>
      <x:c r="E115" s="120" t="str">
        <x:v>Pins with single- and multi-person expenses.</x:v>
      </x:c>
      <x:c r="F115" s="120"/>
      <x:c r="G115" s="120"/>
      <x:c r="H115" s="120"/>
      <x:c r="I115" s="120"/>
      <x:c r="J115" s="120"/>
      <x:c r="K115" s="120"/>
    </x:row>
    <x:row r="116" ht="43.5" customHeight="1">
      <x:c r="A116" s="120" t="str">
        <x:v>EXP-06 View or attempt to remove an expense created by another member.</x:v>
      </x:c>
      <x:c r="B116" s="120" t="str">
        <x:v>The delete action is shown only to users allowed to delete that expense; no misleading bin icon is displayed otherwise.</x:v>
      </x:c>
      <x:c r="C116" s="124" t="str">
        <x:v>P0</x:v>
      </x:c>
      <x:c r="D116" s="120" t="str">
        <x:v>Two accounts</x:v>
      </x:c>
      <x:c r="E116" s="120" t="str">
        <x:v>Shared trip with expenses from both users.</x:v>
      </x:c>
      <x:c r="F116" s="120"/>
      <x:c r="G116" s="120"/>
      <x:c r="H116" s="120"/>
      <x:c r="I116" s="120"/>
      <x:c r="J116" s="120"/>
      <x:c r="K116" s="120"/>
    </x:row>
    <x:row r="117" ht="43.5" customHeight="1">
      <x:c r="A117" s="120" t="str">
        <x:v>EXP-07 Refresh the shared trip after another device adds or deletes an expense.</x:v>
      </x:c>
      <x:c r="B117" s="120" t="str">
        <x:v>Expense, participant allocations and derived balances update together without a partial or stale ledger.</x:v>
      </x:c>
      <x:c r="C117" s="124" t="str">
        <x:v>P0</x:v>
      </x:c>
      <x:c r="D117" s="120" t="str">
        <x:v>Two devices</x:v>
      </x:c>
      <x:c r="E117" s="120" t="str">
        <x:v>Shared trip.</x:v>
      </x:c>
      <x:c r="F117" s="120"/>
      <x:c r="G117" s="120"/>
      <x:c r="H117" s="120"/>
      <x:c r="I117" s="120"/>
      <x:c r="J117" s="120"/>
      <x:c r="K117" s="120"/>
    </x:row>
    <x:row r="118" ht="19.5" customHeight="1">
      <x:c r="A118" s="129" t="str">
        <x:v>Images and documents</x:v>
      </x:c>
      <x:c r="B118" s="129"/>
      <x:c r="C118" s="130"/>
      <x:c r="D118" s="129"/>
      <x:c r="E118" s="129"/>
      <x:c r="F118" s="129"/>
      <x:c r="G118" s="129"/>
      <x:c r="H118" s="129"/>
      <x:c r="I118" s="129"/>
      <x:c r="J118" s="129"/>
      <x:c r="K118" s="129"/>
    </x:row>
    <x:row r="119" ht="43.5" customHeight="1">
      <x:c r="A119" s="120" t="str">
        <x:v>MEDIA-01 Add a large HEIF, JPEG or Android camera image to a pin.</x:v>
      </x:c>
      <x:c r="B119" s="120" t="str">
        <x:v>The image is accepted, converted if needed, resized to a maximum 1024px dimension and queued for upload.</x:v>
      </x:c>
      <x:c r="C119" s="124" t="str">
        <x:v>P0</x:v>
      </x:c>
      <x:c r="D119" s="120" t="str">
        <x:v>Physical iOS and Android</x:v>
      </x:c>
      <x:c r="E119" s="120" t="str">
        <x:v>Camera-roll permission and large source image.</x:v>
      </x:c>
      <x:c r="F119" s="120"/>
      <x:c r="G119" s="120"/>
      <x:c r="H119" s="120"/>
      <x:c r="I119" s="120"/>
      <x:c r="J119" s="120"/>
      <x:c r="K119" s="120"/>
    </x:row>
    <x:row r="120" ht="43.5" customHeight="1">
      <x:c r="A120" s="120" t="str">
        <x:v>MEDIA-02 Wait for an image upload without restarting the app.</x:v>
      </x:c>
      <x:c r="B120" s="120" t="str">
        <x:v>The pending record uploads during the active sync trigger and eventually reports a synced storage location.</x:v>
      </x:c>
      <x:c r="C120" s="124" t="str">
        <x:v>P0</x:v>
      </x:c>
      <x:c r="D120" s="120" t="str">
        <x:v>Physical iOS and Android</x:v>
      </x:c>
      <x:c r="E120" s="120" t="str">
        <x:v>Stable internet connection.</x:v>
      </x:c>
      <x:c r="F120" s="120"/>
      <x:c r="G120" s="120"/>
      <x:c r="H120" s="120"/>
      <x:c r="I120" s="120"/>
      <x:c r="J120" s="120"/>
      <x:c r="K120" s="120"/>
    </x:row>
    <x:row r="121" ht="43.5" customHeight="1">
      <x:c r="A121" s="120" t="str">
        <x:v>MEDIA-03 Refresh the same trip on another device and open a remote image.</x:v>
      </x:c>
      <x:c r="B121" s="120" t="str">
        <x:v>Metadata arrives first, a loading indicator appears and the file downloads lazily before display.</x:v>
      </x:c>
      <x:c r="C121" s="124" t="str">
        <x:v>P0</x:v>
      </x:c>
      <x:c r="D121" s="120" t="str">
        <x:v>Two devices</x:v>
      </x:c>
      <x:c r="E121" s="120" t="str">
        <x:v>Synced remote image.</x:v>
      </x:c>
      <x:c r="F121" s="120"/>
      <x:c r="G121" s="120"/>
      <x:c r="H121" s="120"/>
      <x:c r="I121" s="120"/>
      <x:c r="J121" s="120"/>
      <x:c r="K121" s="120"/>
    </x:row>
    <x:row r="122" ht="43.5" customHeight="1">
      <x:c r="A122" s="120" t="str">
        <x:v>MEDIA-04 Delete an image on one device and refresh another device.</x:v>
      </x:c>
      <x:c r="B122" s="120" t="str">
        <x:v>The image card disappears on both devices and the Storage object is removed when permitted.</x:v>
      </x:c>
      <x:c r="C122" s="124" t="str">
        <x:v>P0</x:v>
      </x:c>
      <x:c r="D122" s="120" t="str">
        <x:v>Two devices</x:v>
      </x:c>
      <x:c r="E122" s="120" t="str">
        <x:v>Synced image.</x:v>
      </x:c>
      <x:c r="F122" s="120"/>
      <x:c r="G122" s="120"/>
      <x:c r="H122" s="120"/>
      <x:c r="I122" s="120"/>
      <x:c r="J122" s="120"/>
      <x:c r="K122" s="120"/>
    </x:row>
    <x:row r="123" ht="43.5" customHeight="1">
      <x:c r="A123" s="120" t="str">
        <x:v>MEDIA-05 Add a supported document, sync it and open it on another device.</x:v>
      </x:c>
      <x:c r="B123" s="120" t="str">
        <x:v>The document uploads, downloads lazily and opens through the native document/sharing flow rather than the web viewer.</x:v>
      </x:c>
      <x:c r="C123" s="124" t="str">
        <x:v>P0</x:v>
      </x:c>
      <x:c r="D123" s="120" t="str">
        <x:v>Two physical devices</x:v>
      </x:c>
      <x:c r="E123" s="120" t="str">
        <x:v>Supported test PDF or document.</x:v>
      </x:c>
      <x:c r="F123" s="120"/>
      <x:c r="G123" s="120"/>
      <x:c r="H123" s="120"/>
      <x:c r="I123" s="120"/>
      <x:c r="J123" s="120"/>
      <x:c r="K123" s="120"/>
    </x:row>
    <x:row r="124" ht="43.5" customHeight="1">
      <x:c r="A124" s="120" t="str">
        <x:v>MEDIA-06 Delete a document and verify unrelated reference links still use the web viewer.</x:v>
      </x:c>
      <x:c r="B124" s="120" t="str">
        <x:v>Document metadata and Storage object are removed; ordinary web links continue opening correctly.</x:v>
      </x:c>
      <x:c r="C124" s="124" t="str">
        <x:v>P1</x:v>
      </x:c>
      <x:c r="D124" s="120" t="str">
        <x:v>Two devices</x:v>
      </x:c>
      <x:c r="E124" s="120" t="str">
        <x:v>Synced document and reference link.</x:v>
      </x:c>
      <x:c r="F124" s="120"/>
      <x:c r="G124" s="120"/>
      <x:c r="H124" s="120"/>
      <x:c r="I124" s="120"/>
      <x:c r="J124" s="120"/>
      <x:c r="K124" s="120"/>
    </x:row>
    <x:row r="125" ht="19.5" customHeight="1">
      <x:c r="A125" s="129" t="str">
        <x:v>Support and feedback</x:v>
      </x:c>
      <x:c r="B125" s="129"/>
      <x:c r="C125" s="130"/>
      <x:c r="D125" s="129"/>
      <x:c r="E125" s="129"/>
      <x:c r="F125" s="129"/>
      <x:c r="G125" s="129"/>
      <x:c r="H125" s="129"/>
      <x:c r="I125" s="129"/>
      <x:c r="J125" s="129"/>
      <x:c r="K125" s="129"/>
    </x:row>
    <x:row r="126" ht="43.5" customHeight="1">
      <x:c r="A126" s="120" t="str">
        <x:v>SUP-01 Open Settings, select Contact us and review the form before entering a message.</x:v>
      </x:c>
      <x:c r="B126" s="120" t="str">
        <x:v>Feedback, Bug and Help can be selected; a blank message cannot be sent; the character counter respects the 2,000-character limit and the account email is shown.</x:v>
      </x:c>
      <x:c r="C126" s="124" t="str">
        <x:v>P1</x:v>
      </x:c>
      <x:c r="D126" s="120" t="str">
        <x:v>iOS and Android</x:v>
      </x:c>
      <x:c r="E126" s="120" t="str">
        <x:v>Signed-in verified account.</x:v>
      </x:c>
      <x:c r="F126" s="120"/>
      <x:c r="G126" s="120"/>
      <x:c r="H126" s="120"/>
      <x:c r="I126" s="120"/>
      <x:c r="J126" s="120"/>
      <x:c r="K126" s="120"/>
    </x:row>
    <x:row r="127" ht="43.5" customHeight="1">
      <x:c r="A127" s="120" t="str">
        <x:v>SUP-02 Submit a valid message through Contact us.</x:v>
      </x:c>
      <x:c r="B127" s="120" t="str">
        <x:v>The support inbox receives one email with the selected category, exact message, account reply-to address and app, build, platform and OS context; the app shows success and can start another message.</x:v>
      </x:c>
      <x:c r="C127" s="124" t="str">
        <x:v>P0</x:v>
      </x:c>
      <x:c r="D127" s="120" t="str">
        <x:v>iOS and Android</x:v>
      </x:c>
      <x:c r="E127" s="120" t="str">
        <x:v>Deployed submit-feedback function, configured Resend secret and access to support@wafflelog.co.uk.</x:v>
      </x:c>
      <x:c r="F127" s="120"/>
      <x:c r="G127" s="120"/>
      <x:c r="H127" s="120"/>
      <x:c r="I127" s="120"/>
      <x:c r="J127" s="120"/>
      <x:c r="K127" s="120"/>
    </x:row>
    <x:row r="128" ht="43.5" customHeight="1">
      <x:c r="A128" s="120" t="str">
        <x:v>SUP-03 Attempt to submit feedback while offline or while delivery is unavailable, then reconnect and retry.</x:v>
      </x:c>
      <x:c r="B128" s="120" t="str">
        <x:v>A clear retry message appears without losing the category or message; retry succeeds without sending a duplicate email and then shows the success state.</x:v>
      </x:c>
      <x:c r="C128" s="124" t="str">
        <x:v>P1</x:v>
      </x:c>
      <x:c r="D128" s="120" t="str">
        <x:v>iOS and Android</x:v>
      </x:c>
      <x:c r="E128" s="120" t="str">
        <x:v>Controllable network and access to the support inbox.</x:v>
      </x:c>
      <x:c r="F128" s="120"/>
      <x:c r="G128" s="120"/>
      <x:c r="H128" s="120"/>
      <x:c r="I128" s="120"/>
      <x:c r="J128" s="120"/>
      <x:c r="K128" s="120"/>
    </x:row>
    <x:row r="129" ht="19.5" customHeight="1">
      <x:c r="A129" s="129" t="str">
        <x:v>Layout, permissions and launch compliance</x:v>
      </x:c>
      <x:c r="B129" s="129"/>
      <x:c r="C129" s="130"/>
      <x:c r="D129" s="129"/>
      <x:c r="E129" s="129"/>
      <x:c r="F129" s="129"/>
      <x:c r="G129" s="129"/>
      <x:c r="H129" s="129"/>
      <x:c r="I129" s="129"/>
      <x:c r="J129" s="129"/>
      <x:c r="K129" s="129"/>
    </x:row>
    <x:row r="130" ht="43.5" customHeight="1">
      <x:c r="A130" s="120" t="str">
        <x:v>UX-01 Review core screens on a small iPhone, large iPhone, iPad and representative Android phone.</x:v>
      </x:c>
      <x:c r="B130" s="120" t="str">
        <x:v>Content respects safe areas, does not touch screen edges and remains readable without clipped actions.</x:v>
      </x:c>
      <x:c r="C130" s="124" t="str">
        <x:v>P0</x:v>
      </x:c>
      <x:c r="D130" s="120" t="str">
        <x:v>iPhone, iPad and Android</x:v>
      </x:c>
      <x:c r="E130" s="120" t="str">
        <x:v>Use the same representative account state.</x:v>
      </x:c>
      <x:c r="F130" s="120"/>
      <x:c r="G130" s="120"/>
      <x:c r="H130" s="120"/>
      <x:c r="I130" s="120"/>
      <x:c r="J130" s="120"/>
      <x:c r="K130" s="120"/>
    </x:row>
    <x:row r="131" ht="43.5" customHeight="1">
      <x:c r="A131" s="120" t="str">
        <x:v>UX-02 Open forms and chat inputs, type near the bottom of the screen and dismiss or navigate away.</x:v>
      </x:c>
      <x:c r="B131" s="120" t="str">
        <x:v>The keyboard does not cover the active input, scrolling reaches the latest content and the keyboard dismisses on route changes.</x:v>
      </x:c>
      <x:c r="C131" s="124" t="str">
        <x:v>P0</x:v>
      </x:c>
      <x:c r="D131" s="120" t="str">
        <x:v>iOS and Android</x:v>
      </x:c>
      <x:c r="E131" s="120" t="str">
        <x:v>Test search, user search, expense and Trip Assistant inputs.</x:v>
      </x:c>
      <x:c r="F131" s="120"/>
      <x:c r="G131" s="120"/>
      <x:c r="H131" s="120"/>
      <x:c r="I131" s="120"/>
      <x:c r="J131" s="120"/>
      <x:c r="K131" s="120"/>
    </x:row>
    <x:row r="132" ht="43.5" customHeight="1">
      <x:c r="A132" s="120" t="str">
        <x:v>UX-03 Exercise camera roll, notification and location-related permission prompts.</x:v>
      </x:c>
      <x:c r="B132" s="120" t="str">
        <x:v>Every prompt has clear Wafflelog-specific purpose text and denial leaves a recoverable path through Settings.</x:v>
      </x:c>
      <x:c r="C132" s="124" t="str">
        <x:v>P0</x:v>
      </x:c>
      <x:c r="D132" s="120" t="str">
        <x:v>Physical iOS and Android</x:v>
      </x:c>
      <x:c r="E132" s="120" t="str">
        <x:v>Fresh permission state where possible.</x:v>
      </x:c>
      <x:c r="F132" s="120"/>
      <x:c r="G132" s="120"/>
      <x:c r="H132" s="120"/>
      <x:c r="I132" s="120"/>
      <x:c r="J132" s="120"/>
      <x:c r="K132" s="120"/>
    </x:row>
    <x:row r="133" ht="43.5" customHeight="1">
      <x:c r="A133" s="121" t="str">
        <x:v>UX-04 Complete a final privacy and account-isolation check.</x:v>
      </x:c>
      <x:c r="B133" s="121" t="str">
        <x:v>No email, JWT, Supabase key, RevenueCat secret, other user's trip data or sensitive debug log is exposed in normal screens or production logs.</x:v>
      </x:c>
      <x:c r="C133" s="38" t="str">
        <x:v>P0</x:v>
      </x:c>
      <x:c r="D133" s="121" t="str">
        <x:v>iOS and Android</x:v>
      </x:c>
      <x:c r="E133" s="121" t="str">
        <x:v>Production-profile build and two accounts.</x:v>
      </x:c>
      <x:c r="F133" s="121"/>
      <x:c r="G133" s="121"/>
      <x:c r="H133" s="121"/>
      <x:c r="I133" s="121"/>
      <x:c r="J133" s="121"/>
      <x:c r="K133" s="121"/>
    </x:row>
  </x:sheetData>
  <x:mergeCells>
    <x:mergeCell ref="A2:K2"/>
    <x:mergeCell ref="A3:K3"/>
    <x:mergeCell ref="F4:G4"/>
    <x:mergeCell ref="H4:I4"/>
    <x:mergeCell ref="J4:K4"/>
    <x:mergeCell ref="A11:A12"/>
    <x:mergeCell ref="B11:B12"/>
    <x:mergeCell ref="C11:C12"/>
    <x:mergeCell ref="D11:D12"/>
    <x:mergeCell ref="E11:E12"/>
    <x:mergeCell ref="F11:G11"/>
    <x:mergeCell ref="H11:I11"/>
    <x:mergeCell ref="J11:K11"/>
  </x:mergeCells>
  <x:conditionalFormatting sqref="F14:K133">
    <x:cfRule type="beginsWith" dxfId="10" priority="1" operator="beginsWith" text="Pass"/>
    <x:cfRule type="beginsWith" dxfId="11" priority="2" operator="beginsWith" text="Fail"/>
    <x:cfRule type="beginsWith" dxfId="12" priority="3" operator="beginsWith" text="Blocked"/>
    <x:cfRule type="beginsWith" dxfId="13" priority="4" operator="beginsWith" text="Not run"/>
  </x:conditionalFormatting>
  <x:conditionalFormatting sqref="C14:C133">
    <x:cfRule type="cellIs" dxfId="14" priority="5" operator="equal">
      <x:formula>"P0"</x:formula>
    </x:cfRule>
    <x:cfRule type="cellIs" dxfId="15" priority="6" operator="equal">
      <x:formula>"P1"</x:formula>
    </x:cfRule>
    <x:cfRule type="cellIs" dxfId="16" priority="7" operator="equal">
      <x:formula>"P2"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FFB3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0.5600004196167" hidden="0" customWidth="1"/>
    <x:col min="2" max="2" width="11.670000076293945" hidden="0" customWidth="1"/>
    <x:col min="3" max="3" width="11.670000076293945" hidden="0" customWidth="1"/>
    <x:col min="4" max="4" width="11.670000076293945" hidden="0" customWidth="1"/>
    <x:col min="5" max="5" width="17.219999313354492" hidden="0" customWidth="1"/>
    <x:col min="6" max="6" width="17.219999313354492" hidden="0" customWidth="1"/>
    <x:col min="7" max="7" width="11.670000076293945" hidden="0" customWidth="1"/>
    <x:col min="8" max="8" width="13.329999923706055" hidden="0" customWidth="1"/>
    <x:col min="9" max="9" width="15" hidden="0" customWidth="1"/>
    <x:col min="10" max="10" width="31.670000076293945" hidden="0" customWidth="1"/>
  </x:cols>
  <x:sheetData>
    <x:row r="2" ht="22.5" customHeight="1">
      <x:c r="A2" s="2" t="str">
        <x:v>Testing round log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3" t="str">
        <x:v>Record the build and device context once per round. Do not store passwords or store-account credentials in this workbook.</x:v>
      </x:c>
      <x:c r="B3" s="3"/>
      <x:c r="C3" s="3"/>
      <x:c r="D3" s="3"/>
      <x:c r="E3" s="3"/>
      <x:c r="F3" s="3"/>
      <x:c r="G3" s="3"/>
      <x:c r="H3" s="3"/>
      <x:c r="I3" s="3"/>
      <x:c r="J3" s="3"/>
    </x:row>
    <x:row r="5" ht="27" customHeight="1">
      <x:c r="A5" s="64" t="str">
        <x:v>Round</x:v>
      </x:c>
      <x:c r="B5" s="64" t="str">
        <x:v>Date</x:v>
      </x:c>
      <x:c r="C5" s="64" t="str">
        <x:v>App version</x:v>
      </x:c>
      <x:c r="D5" s="64" t="str">
        <x:v>Build number</x:v>
      </x:c>
      <x:c r="E5" s="64" t="str">
        <x:v>Platform / channel</x:v>
      </x:c>
      <x:c r="F5" s="64" t="str">
        <x:v>Device</x:v>
      </x:c>
      <x:c r="G5" s="64" t="str">
        <x:v>OS version</x:v>
      </x:c>
      <x:c r="H5" s="64" t="str">
        <x:v>Tester</x:v>
      </x:c>
      <x:c r="I5" s="64" t="str">
        <x:v>Overall result</x:v>
      </x:c>
      <x:c r="J5" s="64" t="str">
        <x:v>Notes</x:v>
      </x:c>
    </x:row>
    <x:row r="6" ht="33" customHeight="1">
      <x:c r="A6" s="67" t="str">
        <x:v>Round 1</x:v>
      </x:c>
      <x:c r="B6" s="68"/>
      <x:c r="C6" s="67"/>
      <x:c r="D6" s="67"/>
      <x:c r="E6" s="67" t="str">
        <x:v>iOS TestFlight</x:v>
      </x:c>
      <x:c r="F6" s="67"/>
      <x:c r="G6" s="67"/>
      <x:c r="H6" s="67"/>
      <x:c r="I6" s="67"/>
      <x:c r="J6" s="67"/>
    </x:row>
    <x:row r="7" ht="33" customHeight="1">
      <x:c r="A7" s="67" t="str">
        <x:v>Round 2</x:v>
      </x:c>
      <x:c r="B7" s="68"/>
      <x:c r="C7" s="67"/>
      <x:c r="D7" s="67"/>
      <x:c r="E7" s="67" t="str">
        <x:v>Android internal test</x:v>
      </x:c>
      <x:c r="F7" s="67"/>
      <x:c r="G7" s="67"/>
      <x:c r="H7" s="67"/>
      <x:c r="I7" s="67"/>
      <x:c r="J7" s="67"/>
    </x:row>
    <x:row r="8" ht="33" customHeight="1">
      <x:c r="A8" s="67" t="str">
        <x:v>Round 3</x:v>
      </x:c>
      <x:c r="B8" s="68"/>
      <x:c r="C8" s="67"/>
      <x:c r="D8" s="67"/>
      <x:c r="E8" s="67" t="str">
        <x:v>Regression</x:v>
      </x:c>
      <x:c r="F8" s="67"/>
      <x:c r="G8" s="67"/>
      <x:c r="H8" s="67"/>
      <x:c r="I8" s="67"/>
      <x:c r="J8" s="67"/>
    </x:row>
    <x:row r="9" ht="33" customHeight="1">
      <x:c r="A9" s="67"/>
      <x:c r="B9" s="68"/>
      <x:c r="C9" s="67"/>
      <x:c r="D9" s="67"/>
      <x:c r="E9" s="67"/>
      <x:c r="F9" s="67"/>
      <x:c r="G9" s="67"/>
      <x:c r="H9" s="67"/>
      <x:c r="I9" s="67"/>
      <x:c r="J9" s="67"/>
    </x:row>
    <x:row r="10" ht="33" customHeight="1">
      <x:c r="A10" s="67"/>
      <x:c r="B10" s="68"/>
      <x:c r="C10" s="67"/>
      <x:c r="D10" s="67"/>
      <x:c r="E10" s="67"/>
      <x:c r="F10" s="67"/>
      <x:c r="G10" s="67"/>
      <x:c r="H10" s="67"/>
      <x:c r="I10" s="67"/>
      <x:c r="J10" s="67"/>
    </x:row>
    <x:row r="11" ht="33" customHeight="1">
      <x:c r="A11" s="67"/>
      <x:c r="B11" s="68"/>
      <x:c r="C11" s="67"/>
      <x:c r="D11" s="67"/>
      <x:c r="E11" s="67"/>
      <x:c r="F11" s="67"/>
      <x:c r="G11" s="67"/>
      <x:c r="H11" s="67"/>
      <x:c r="I11" s="67"/>
      <x:c r="J11" s="67"/>
    </x:row>
    <x:row r="12" ht="33" customHeight="1">
      <x:c r="A12" s="67"/>
      <x:c r="B12" s="68"/>
      <x:c r="C12" s="67"/>
      <x:c r="D12" s="67"/>
      <x:c r="E12" s="67"/>
      <x:c r="F12" s="67"/>
      <x:c r="G12" s="67"/>
      <x:c r="H12" s="67"/>
      <x:c r="I12" s="67"/>
      <x:c r="J12" s="67"/>
    </x:row>
    <x:row r="13" ht="33" customHeight="1">
      <x:c r="A13" s="67"/>
      <x:c r="B13" s="68"/>
      <x:c r="C13" s="67"/>
      <x:c r="D13" s="67"/>
      <x:c r="E13" s="67"/>
      <x:c r="F13" s="67"/>
      <x:c r="G13" s="67"/>
      <x:c r="H13" s="67"/>
      <x:c r="I13" s="67"/>
      <x:c r="J13" s="67"/>
    </x:row>
    <x:row r="14" ht="33" customHeight="1">
      <x:c r="A14" s="67"/>
      <x:c r="B14" s="68"/>
      <x:c r="C14" s="67"/>
      <x:c r="D14" s="67"/>
      <x:c r="E14" s="67"/>
      <x:c r="F14" s="67"/>
      <x:c r="G14" s="67"/>
      <x:c r="H14" s="67"/>
      <x:c r="I14" s="67"/>
      <x:c r="J14" s="67"/>
    </x:row>
    <x:row r="15" ht="33" customHeight="1">
      <x:c r="A15" s="67"/>
      <x:c r="B15" s="68"/>
      <x:c r="C15" s="67"/>
      <x:c r="D15" s="67"/>
      <x:c r="E15" s="67"/>
      <x:c r="F15" s="67"/>
      <x:c r="G15" s="67"/>
      <x:c r="H15" s="67"/>
      <x:c r="I15" s="67"/>
      <x:c r="J15" s="67"/>
    </x:row>
    <x:row r="16" ht="33" customHeight="1">
      <x:c r="A16" s="67"/>
      <x:c r="B16" s="68"/>
      <x:c r="C16" s="67"/>
      <x:c r="D16" s="67"/>
      <x:c r="E16" s="67"/>
      <x:c r="F16" s="67"/>
      <x:c r="G16" s="67"/>
      <x:c r="H16" s="67"/>
      <x:c r="I16" s="67"/>
      <x:c r="J16" s="67"/>
    </x:row>
    <x:row r="17" ht="33" customHeight="1">
      <x:c r="A17" s="67"/>
      <x:c r="B17" s="68"/>
      <x:c r="C17" s="67"/>
      <x:c r="D17" s="67"/>
      <x:c r="E17" s="67"/>
      <x:c r="F17" s="67"/>
      <x:c r="G17" s="67"/>
      <x:c r="H17" s="67"/>
      <x:c r="I17" s="67"/>
      <x:c r="J17" s="67"/>
    </x:row>
    <x:row r="20">
      <x:c r="A20" s="70" t="str">
        <x:v>Suggested test personas</x:v>
      </x:c>
      <x:c r="B20" s="70"/>
      <x:c r="C20" s="70"/>
      <x:c r="D20" s="70"/>
      <x:c r="E20" s="70"/>
      <x:c r="F20" s="70"/>
      <x:c r="G20" s="70"/>
      <x:c r="H20" s="70"/>
      <x:c r="I20" s="70"/>
      <x:c r="J20" s="70"/>
    </x:row>
    <x:row r="22">
      <x:c r="A22" s="11" t="str">
        <x:v>Persona</x:v>
      </x:c>
      <x:c r="B22" s="11" t="str">
        <x:v>Purpose</x:v>
      </x:c>
      <x:c r="C22" s="11"/>
      <x:c r="D22" s="11" t="str">
        <x:v>Required state</x:v>
      </x:c>
      <x:c r="E22" s="11"/>
      <x:c r="F22" s="11"/>
      <x:c r="G22" s="11"/>
      <x:c r="H22" s="11"/>
      <x:c r="I22" s="11"/>
      <x:c r="J22" s="11"/>
    </x:row>
    <x:row r="23" ht="39" customHeight="1">
      <x:c r="A23" s="67" t="str">
        <x:v>Owner A</x:v>
      </x:c>
      <x:c r="B23" s="67" t="str">
        <x:v>Trip owner and purchaser</x:v>
      </x:c>
      <x:c r="C23" s="67"/>
      <x:c r="D23" s="67" t="str">
        <x:v>Verified; push enabled; owns a shared trip; at least two paid passes</x:v>
      </x:c>
      <x:c r="E23" s="67"/>
      <x:c r="F23" s="67"/>
      <x:c r="G23" s="67"/>
      <x:c r="H23" s="67"/>
      <x:c r="I23" s="67"/>
      <x:c r="J23" s="67"/>
    </x:row>
    <x:row r="24" ht="39" customHeight="1">
      <x:c r="A24" s="67" t="str">
        <x:v>Companion B</x:v>
      </x:c>
      <x:c r="B24" s="67" t="str">
        <x:v>Invitation and collaboration</x:v>
      </x:c>
      <x:c r="C24" s="67"/>
      <x:c r="D24" s="67" t="str">
        <x:v>Verified on a second physical device; push enabled</x:v>
      </x:c>
      <x:c r="E24" s="67"/>
      <x:c r="F24" s="67"/>
      <x:c r="G24" s="67"/>
      <x:c r="H24" s="67"/>
      <x:c r="I24" s="67"/>
      <x:c r="J24" s="67"/>
    </x:row>
    <x:row r="25" ht="39" customHeight="1">
      <x:c r="A25" s="67" t="str">
        <x:v>Fresh account C</x:v>
      </x:c>
      <x:c r="B25" s="67" t="str">
        <x:v>Complimentary allowance</x:v>
      </x:c>
      <x:c r="C25" s="67"/>
      <x:c r="D25" s="67" t="str">
        <x:v>Verified; complimentary Trip Assistant session unused</x:v>
      </x:c>
      <x:c r="E25" s="67"/>
      <x:c r="F25" s="67"/>
      <x:c r="G25" s="67"/>
      <x:c r="H25" s="67"/>
      <x:c r="I25" s="67"/>
      <x:c r="J25" s="67"/>
    </x:row>
    <x:row r="26" ht="39" customHeight="1">
      <x:c r="A26" s="67" t="str">
        <x:v>No-pass account D</x:v>
      </x:c>
      <x:c r="B26" s="67" t="str">
        <x:v>Paywall and insufficient balance</x:v>
      </x:c>
      <x:c r="C26" s="67"/>
      <x:c r="D26" s="67" t="str">
        <x:v>Verified; complimentary allowance used; zero purchased passes</x:v>
      </x:c>
      <x:c r="E26" s="67"/>
      <x:c r="F26" s="67"/>
      <x:c r="G26" s="67"/>
      <x:c r="H26" s="67"/>
      <x:c r="I26" s="67"/>
      <x:c r="J26" s="67"/>
    </x:row>
  </x:sheetData>
  <x:mergeCells>
    <x:mergeCell ref="A2:J2"/>
    <x:mergeCell ref="A3:J3"/>
    <x:mergeCell ref="A20:J20"/>
    <x:mergeCell ref="B22:C22"/>
    <x:mergeCell ref="D22:J22"/>
    <x:mergeCell ref="B23:C23"/>
    <x:mergeCell ref="D23:J23"/>
    <x:mergeCell ref="B24:C24"/>
    <x:mergeCell ref="D24:J24"/>
    <x:mergeCell ref="B25:C25"/>
    <x:mergeCell ref="D25:J25"/>
    <x:mergeCell ref="B26:C26"/>
    <x:mergeCell ref="D26:J26"/>
  </x:mergeCells>
  <x:conditionalFormatting sqref="I6:I17">
    <x:cfRule type="containsText" dxfId="7" priority="1" operator="containsText" text="Pass"/>
    <x:cfRule type="containsText" dxfId="8" priority="2" operator="containsText" text="Fail"/>
    <x:cfRule type="containsText" dxfId="9" priority="3" operator="containsText" text="Blocked"/>
  </x:conditionalFormatting>
  <x:dataValidations count="1">
    <x:dataValidation type="list" sqref="I6:I17">
      <x:formula1>"Pass,Pass with notes,Fail,Blocked,In progress"</x:formula1>
    </x:dataValidation>
  </x:dataValidations>
  <x:pageMargins left="0.7" right="0.7" top="0.75" bottom="0.75" header="0.3" footer="0.3"/>
</x:worksheet>
</file>