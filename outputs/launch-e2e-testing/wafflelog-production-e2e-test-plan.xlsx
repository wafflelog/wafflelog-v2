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d75d93e26464997" /></Relationships>
</file>

<file path=xl/workbook.xml><?xml version="1.0" encoding="utf-8"?>
<x:workbook xmlns:x="http://schemas.openxmlformats.org/spreadsheetml/2006/main">
  <x:sheets>
    <x:sheet xmlns:r="http://schemas.openxmlformats.org/officeDocument/2006/relationships" name="Export Summary" sheetId="1" r:id="Rcc2a9b926a284793"/>
    <x:sheet xmlns:r="http://schemas.openxmlformats.org/officeDocument/2006/relationships" name="E2E checklist" sheetId="2" r:id="R0beb23a2efef4d1a"/>
    <x:sheet xmlns:r="http://schemas.openxmlformats.org/officeDocument/2006/relationships" name="Run log" sheetId="3" r:id="R382e8929b9824739"/>
  </x:sheets>
</x:workbook>
</file>

<file path=xl/sharedStrings.xml><?xml version="1.0" encoding="utf-8"?>
<x:sst xmlns:x="http://schemas.openxmlformats.org/spreadsheetml/2006/main">
  <x:si>
    <x:t xml:space="preserve">This document was exported from Numbers. Each table was converted to an Excel worksheet. All other objects on each Numbers sheet were placed on separate worksheets. Please be aware that formula calculations may differ in Excel.</x:t>
  </x:si>
  <x:si>
    <x:t xml:space="preserve">Numbers Sheet Name</x:t>
  </x:si>
  <x:si>
    <x:t xml:space="preserve">Numbers Table Name</x:t>
  </x:si>
  <x:si>
    <x:t xml:space="preserve">Excel Worksheet Name</x:t>
  </x:si>
  <x:si>
    <x:t xml:space="preserve">E2E checklist</x:t>
  </x:si>
  <x:si>
    <x:t xml:space="preserve">Table 1</x:t>
  </x:si>
  <x:si>
    <x:t xml:space="preserve">Run log</x:t>
  </x:si>
  <x:si>
    <x:t xml:space="preserve">Wafflelog production E2E test plan</x:t>
  </x:si>
  <x:si>
    <x:t xml:space="preserve">Enter Pass, Fail — reason, Blocked — reason or Not run in each iOS and Android testing-round subcolumn. Copy the final round pair when another release candidate is ready.</x:t>
  </x:si>
  <x:si>
    <x:t xml:space="preserve">Round 1</x:t>
  </x:si>
  <x:si>
    <x:t xml:space="preserve">Round 2</x:t>
  </x:si>
  <x:si>
    <x:t xml:space="preserve">Round 3</x:t>
  </x:si>
  <x:si>
    <x:t xml:space="preserve">Result</x:t>
  </x:si>
  <x:si>
    <x:t xml:space="preserve">Meaning</x:t>
  </x:si>
  <x:si>
    <x:t xml:space="preserve">iOS</x:t>
  </x:si>
  <x:si>
    <x:t xml:space="preserve">Android</x:t>
  </x:si>
  <x:si>
    <x:t xml:space="preserve">Pass</x:t>
  </x:si>
  <x:si>
    <x:t xml:space="preserve">Expected behaviour observed</x:t>
  </x:si>
  <x:si>
    <x:t xml:space="preserve">Fail</x:t>
  </x:si>
  <x:si>
    <x:t xml:space="preserve">Unexpected behaviour; add a concise reason</x:t>
  </x:si>
  <x:si>
    <x:t xml:space="preserve">Blocked</x:t>
  </x:si>
  <x:si>
    <x:t xml:space="preserve">Could not complete; state the blocker</x:t>
  </x:si>
  <x:si>
    <x:t xml:space="preserve">Not run</x:t>
  </x:si>
  <x:si>
    <x:t xml:space="preserve">Not included in this round</x:t>
  </x:si>
  <x:si>
    <x:t xml:space="preserve">Test case</x:t>
  </x:si>
  <x:si>
    <x:t xml:space="preserve">Expected result</x:t>
  </x:si>
  <x:si>
    <x:t xml:space="preserve">Priority</x:t>
  </x:si>
  <x:si>
    <x:t xml:space="preserve">Platform / device</x:t>
  </x:si>
  <x:si>
    <x:t xml:space="preserve">Preconditions / test data</x:t>
  </x:si>
  <x:si>
    <x:t xml:space="preserve">Build, installation and updates</x:t>
  </x:si>
  <x:si>
    <x:t xml:space="preserve">REL-01 Install the latest TestFlight or internal-test build on a clean device and open it.</x:t>
  </x:si>
  <x:si>
    <x:t xml:space="preserve">The app installs, launches without a crash and shows the authentication flow.</x:t>
  </x:si>
  <x:si>
    <x:t xml:space="preserve">P0</x:t>
  </x:si>
  <x:si>
    <x:t xml:space="preserve">iOS and Android</x:t>
  </x:si>
  <x:si>
    <x:t xml:space="preserve">Remove any previous installation first.</x:t>
  </x:si>
  <x:si>
    <x:t xml:space="preserve">REL-02 Upgrade over the previous test build without uninstalling.</x:t>
  </x:si>
  <x:si>
    <x:t xml:space="preserve">The update completes and the existing account session, local trips and downloaded media remain available.</x:t>
  </x:si>
  <x:si>
    <x:t xml:space="preserve">Install the previous build and create local data first.</x:t>
  </x:si>
  <x:si>
    <x:t xml:space="preserve">REL-03 Send the app to the background and reopen it after several minutes.</x:t>
  </x:si>
  <x:si>
    <x:t xml:space="preserve">The same screen remains usable, authentication is retained and no duplicate modal appears.</x:t>
  </x:si>
  <x:si>
    <x:t xml:space="preserve">P1</x:t>
  </x:si>
  <x:si>
    <x:t xml:space="preserve">Signed-in account.</x:t>
  </x:si>
  <x:si>
    <x:t xml:space="preserve">REL-04 Force-quit during ordinary browsing, then reopen the app.</x:t>
  </x:si>
  <x:si>
    <x:t xml:space="preserve">The app returns to a valid screen and locally saved data remains intact.</x:t>
  </x:si>
  <x:si>
    <x:t xml:space="preserve">Signed-in account with at least one trip.</x:t>
  </x:si>
  <x:si>
    <x:t xml:space="preserve">REL-05 Confirm the production build displays the correct app name, icon and launch screen.</x:t>
  </x:si>
  <x:si>
    <x:t xml:space="preserve">Wafflelog branding is correct with no development labels; the iOS icon and Android adaptive and monochrome icons are correctly scaled and not cropped.</x:t>
  </x:si>
  <x:si>
    <x:t xml:space="preserve">Production-profile build.</x:t>
  </x:si>
  <x:si>
    <x:t xml:space="preserve">Authentication and account management</x:t>
  </x:si>
  <x:si>
    <x:t xml:space="preserve">AUTH-01 Register with a valid new email, username and password.</x:t>
  </x:si>
  <x:si>
    <x:t xml:space="preserve">Registration succeeds and the user is directed to verify their email before normal app access.</x:t>
  </x:si>
  <x:si>
    <x:t xml:space="preserve">Unused email address.</x:t>
  </x:si>
  <x:si>
    <x:t xml:space="preserve">AUTH-02 Submit registration with missing, malformed or invalid fields.</x:t>
  </x:si>
  <x:si>
    <x:t xml:space="preserve">Inline validation explains the issue and no account is created.</x:t>
  </x:si>
  <x:si>
    <x:t xml:space="preserve">Try invalid email and password values.</x:t>
  </x:si>
  <x:si>
    <x:t xml:space="preserve">Fixed the UI, the non-disclosure of used email is actually expected. </x:t>
  </x:si>
  <x:si>
    <x:t xml:space="preserve">AUTH-03 Open the verification email link on the test device.</x:t>
  </x:si>
  <x:si>
    <x:t xml:space="preserve">The link opens Wafflelog, confirms the account and leads to a valid authenticated state.</x:t>
  </x:si>
  <x:si>
    <x:t xml:space="preserve">New unverified account and access to its inbox.</x:t>
  </x:si>
  <x:si>
    <x:t xml:space="preserve">Pass - Switch to Supabase PRo</x:t>
  </x:si>
  <x:si>
    <x:t xml:space="preserve">AUTH-04 Request another verification email.</x:t>
  </x:si>
  <x:si>
    <x:t xml:space="preserve">A confirmation message appears and a valid replacement email arrives, subject to provider rate limits.</x:t>
  </x:si>
  <x:si>
    <x:t xml:space="preserve">Unverified account.</x:t>
  </x:si>
  <x:si>
    <x:t xml:space="preserve">Fixed - This is actually expected. Old un-confirmed users will receive email when they register again</x:t>
  </x:si>
  <x:si>
    <x:t xml:space="preserve">AUTH-05 Sign in with the correct email and password.</x:t>
  </x:si>
  <x:si>
    <x:t xml:space="preserve">The user reaches the home screen and sees only their own account data.</x:t>
  </x:si>
  <x:si>
    <x:t xml:space="preserve">Verified account.</x:t>
  </x:si>
  <x:si>
    <x:t xml:space="preserve">AUTH-06 Sign in with an incorrect password.</x:t>
  </x:si>
  <x:si>
    <x:t xml:space="preserve">A clear error is shown without exposing technical details or creating a session.</x:t>
  </x:si>
  <x:si>
    <x:t xml:space="preserve">AUTH-07 Request a password-reset email and open its link on the device.</x:t>
  </x:si>
  <x:si>
    <x:t xml:space="preserve">The app opens the reset-password screen and allows a valid new password.</x:t>
  </x:si>
  <x:si>
    <x:t xml:space="preserve">Verified account and access to its inbox.</x:t>
  </x:si>
  <x:si>
    <x:t xml:space="preserve">Blocked - The password reset URL is spammy</x:t>
  </x:si>
  <x:si>
    <x:t xml:space="preserve">AUTH-08 Sign out after resetting the password, then sign in normally with the new password.</x:t>
  </x:si>
  <x:si>
    <x:t xml:space="preserve">The user reaches the home screen and is not returned to the reset-password screen.</x:t>
  </x:si>
  <x:si>
    <x:t xml:space="preserve">Complete AUTH-07 first.</x:t>
  </x:si>
  <x:si>
    <x:t xml:space="preserve">Fixed</x:t>
  </x:si>
  <x:si>
    <x:t xml:space="preserve">AUTH-09 Sign out from Settings.</x:t>
  </x:si>
  <x:si>
    <x:t xml:space="preserve">Only the current device session ends; the authentication screen appears and private local data is not shown to the next account.</x:t>
  </x:si>
  <x:si>
    <x:t xml:space="preserve">AUTH-10 Delete the account using the required DELETE confirmation text.</x:t>
  </x:si>
  <x:si>
    <x:t xml:space="preserve">Incorrect text cannot proceed. Correct confirmation deletes the account, signs the user out and prevents future login.</x:t>
  </x:si>
  <x:si>
    <x:t xml:space="preserve">Disposable verified account with representative data.</x:t>
  </x:si>
  <x:si>
    <x:t xml:space="preserve">AUTH-11 Register with a username already used by another account, including different letter casing.</x:t>
  </x:si>
  <x:si>
    <x:t xml:space="preserve">Registration is rejected before verification and clearly states that the username is already taken; no partial account remains.</x:t>
  </x:si>
  <x:si>
    <x:t xml:space="preserve">Existing verified account plus a different unused email address.</x:t>
  </x:si>
  <x:si>
    <x:t xml:space="preserve">Home, navigation and settings</x:t>
  </x:si>
  <x:si>
    <x:t xml:space="preserve">HOME-01 Open the home screen in the morning and again in the evening without restarting the app.</x:t>
  </x:si>
  <x:si>
    <x:t xml:space="preserve">The greeting and time-based banner update when the screen regains focus.</x:t>
  </x:si>
  <x:si>
    <x:t xml:space="preserve">Change device time only on a disposable test setup if needed.</x:t>
  </x:si>
  <x:si>
    <x:t xml:space="preserve">HOME-03 Open and close the drawer, trip, pin, modal and settings headers.</x:t>
  </x:si>
  <x:si>
    <x:t xml:space="preserve">Back, menu and close actions use consistent icons and return to the expected screen without leaving the keyboard visible.</x:t>
  </x:si>
  <x:si>
    <x:t xml:space="preserve">Signed-in account with one trip and pin.</x:t>
  </x:si>
  <x:si>
    <x:t xml:space="preserve">HOME-04 Open Settings and review the account card, notification status, analytics control and pass balance.</x:t>
  </x:si>
  <x:si>
    <x:t xml:space="preserve">Each item shows the current account state without stale values from another account.</x:t>
  </x:si>
  <x:si>
    <x:t xml:space="preserve">Known account state.</x:t>
  </x:si>
  <x:si>
    <x:t xml:space="preserve">HOME-05 Change the Usage analytics switch and reopen Settings.</x:t>
  </x:si>
  <x:si>
    <x:t xml:space="preserve">The chosen setting persists and tracking follows the selection.</x:t>
  </x:si>
  <x:si>
    <x:t xml:space="preserve">Analytics consent card previously answered or visible.</x:t>
  </x:si>
  <x:si>
    <x:t xml:space="preserve">HOME-06 Open the legal links from the authentication flow and analytics consent card.</x:t>
  </x:si>
  <x:si>
    <x:t xml:space="preserve">Terms opens https://wafflelog.co.uk/terms/ and Privacy opens https://wafflelog.co.uk/privacy/ in an appropriate browser view.</x:t>
  </x:si>
  <x:si>
    <x:t xml:space="preserve">Internet connection and deployed legal pages.</x:t>
  </x:si>
  <x:si>
    <x:t xml:space="preserve">HOME-07 Review private, owner-shared and companion trip cards on the home screen.</x:t>
  </x:si>
  <x:si>
    <x:t xml:space="preserve">Private trips have no sharing badge; shared trips show a clear Owner or Companion badge without crowding the card.</x:t>
  </x:si>
  <x:si>
    <x:t xml:space="preserve">iPhone, iPad and Android</x:t>
  </x:si>
  <x:si>
    <x:t xml:space="preserve">Account with private, owned shared and companion trips.</x:t>
  </x:si>
  <x:si>
    <x:t xml:space="preserve">Trips, offline storage and synchronisation</x:t>
  </x:si>
  <x:si>
    <x:t xml:space="preserve">TRIP-01 Create a trip with valid title and dates.</x:t>
  </x:si>
  <x:si>
    <x:t xml:space="preserve">The trip appears immediately on the device and later remains after app restart and synchronisation.</x:t>
  </x:si>
  <x:si>
    <x:t xml:space="preserve">Signed-in owner account.</x:t>
  </x:si>
  <x:si>
    <x:t xml:space="preserve">Blocked(Pass) - We should add a maximum date, like 120 days for trip range</x:t>
  </x:si>
  <x:si>
    <x:t xml:space="preserve">TRIP-03 Edit a trip name and dates as its owner.</x:t>
  </x:si>
  <x:si>
    <x:t xml:space="preserve">Changes appear throughout the trip and sync to another signed-in device after refresh.</x:t>
  </x:si>
  <x:si>
    <x:t xml:space="preserve">Two devices</x:t>
  </x:si>
  <x:si>
    <x:t xml:space="preserve">Same owner account on both devices.</x:t>
  </x:si>
  <x:si>
    <x:t xml:space="preserve">TRIP-04 Open Trip Settings as a companion.</x:t>
  </x:si>
  <x:si>
    <x:t xml:space="preserve">The owner is identified and edit/delete actions are hidden with an owner-only explanation.</x:t>
  </x:si>
  <x:si>
    <x:t xml:space="preserve">Two accounts</x:t>
  </x:si>
  <x:si>
    <x:t xml:space="preserve">Accepted companion membership.</x:t>
  </x:si>
  <x:si>
    <x:t xml:space="preserve">TRIP-05 Delete a trip as its owner and confirm the warning.</x:t>
  </x:si>
  <x:si>
    <x:t xml:space="preserve">The trip disappears locally, is removed remotely after sync and disappears from companion devices after refresh.</x:t>
  </x:si>
  <x:si>
    <x:t xml:space="preserve">Disposable shared trip.</x:t>
  </x:si>
  <x:si>
    <x:t xml:space="preserve">TRIP-06 Cancel the delete-trip confirmation.</x:t>
  </x:si>
  <x:si>
    <x:t xml:space="preserve">The trip and all its content remain unchanged.</x:t>
  </x:si>
  <x:si>
    <x:t xml:space="preserve">Owner account with a trip.</x:t>
  </x:si>
  <x:si>
    <x:t xml:space="preserve">TRIP-07 Pull to refresh the home or trip screen after another device changes trip content.</x:t>
  </x:si>
  <x:si>
    <x:t xml:space="preserve">Remote changes download once and the refresh indicator finishes without duplicating records.</x:t>
  </x:si>
  <x:si>
    <x:t xml:space="preserve">Same account or shared trip on both devices.</x:t>
  </x:si>
  <x:si>
    <x:t xml:space="preserve">TRIP-08 Create or edit content while offline, then reconnect and trigger upload.</x:t>
  </x:si>
  <x:si>
    <x:t xml:space="preserve">Local changes remain usable offline and upload successfully when the normal sync trigger runs.</x:t>
  </x:si>
  <x:si>
    <x:t xml:space="preserve">Previously bootstrapped account and controllable network.</x:t>
  </x:si>
  <x:si>
    <x:t xml:space="preserve">TRIP-09 Sign in on a device with no local database and complete first-device bootstrap.</x:t>
  </x:si>
  <x:si>
    <x:t xml:space="preserve">A blocking first-login message appears, remote trip metadata downloads and the gate closes only after success.</x:t>
  </x:si>
  <x:si>
    <x:t xml:space="preserve">Second or clean device</x:t>
  </x:si>
  <x:si>
    <x:t xml:space="preserve">Account with existing remote trips.</x:t>
  </x:si>
  <x:si>
    <x:t xml:space="preserve">TRIP-10 Interrupt first-device bootstrap, then reopen and retry.</x:t>
  </x:si>
  <x:si>
    <x:t xml:space="preserve">The app does not mark an incomplete bootstrap as finished and retries the complete download safely.</x:t>
  </x:si>
  <x:si>
    <x:t xml:space="preserve">Account with several remote trips.</x:t>
  </x:si>
  <x:si>
    <x:t xml:space="preserve">TRIP-11 Force first-device bootstrap to fail, then use both recovery actions.</x:t>
  </x:si>
  <x:si>
    <x:t xml:space="preserve">Try again restarts bootstrap; Sign out leaves the blocking screen and returns to authentication without exposing cached account data.</x:t>
  </x:si>
  <x:si>
    <x:t xml:space="preserve">Clean device, account with remote trips and controllable connectivity.</x:t>
  </x:si>
  <x:si>
    <x:t xml:space="preserve">TRIP-12 Trigger an upload and a pull-to-refresh download at nearly the same time.</x:t>
  </x:si>
  <x:si>
    <x:t xml:space="preserve">Sync operations finish sequentially without SQLite rollback errors, duplicated records or a stuck refresh state.</x:t>
  </x:si>
  <x:si>
    <x:t xml:space="preserve">Pending local change plus a remote change on the same or shared trip.</x:t>
  </x:si>
  <x:si>
    <x:t xml:space="preserve">Pins and trip content</x:t>
  </x:si>
  <x:si>
    <x:t xml:space="preserve">PIN-01 Create a pin for a trip day with a title and category.</x:t>
  </x:si>
  <x:si>
    <x:t xml:space="preserve">The pin appears under the correct day with the mapped category name, colour and icon.</x:t>
  </x:si>
  <x:si>
    <x:t xml:space="preserve">Trip spanning multiple days.</x:t>
  </x:si>
  <x:si>
    <x:t xml:space="preserve">PIN-02 Add optional time, notes and location details to a pin.</x:t>
  </x:si>
  <x:si>
    <x:t xml:space="preserve">Every supplied field is retained after closing, reopening and synchronising the pin.</x:t>
  </x:si>
  <x:si>
    <x:t xml:space="preserve">Existing trip.</x:t>
  </x:si>
  <x:si>
    <x:t xml:space="preserve">PIN-03 Edit a pin and move it to another day.</x:t>
  </x:si>
  <x:si>
    <x:t xml:space="preserve">The pin moves to the correct day without duplication and retains its child content.</x:t>
  </x:si>
  <x:si>
    <x:t xml:space="preserve">Existing pin with child content.</x:t>
  </x:si>
  <x:si>
    <x:t xml:space="preserve">PIN-04 Delete a pin and confirm the warning.</x:t>
  </x:si>
  <x:si>
    <x:t xml:space="preserve">The pin and its associated local content disappear and the deletion reaches other devices after refresh.</x:t>
  </x:si>
  <x:si>
    <x:t xml:space="preserve">Disposable pin.</x:t>
  </x:si>
  <x:si>
    <x:t xml:space="preserve">PIN-05 Open one pin from the drawer, then select another pin without leaving the route group.</x:t>
  </x:si>
  <x:si>
    <x:t xml:space="preserve">The screen reacts to the new pin ID and displays the newly selected pin.</x:t>
  </x:si>
  <x:si>
    <x:t xml:space="preserve">Trip with at least two pins.</x:t>
  </x:si>
  <x:si>
    <x:t xml:space="preserve">PIN-06 Search for a place and choose one of up to ten compact result cards.</x:t>
  </x:si>
  <x:si>
    <x:t xml:space="preserve">The full place name and useful address/rating information appear; latitude/longitude and paid photos are not shown.</x:t>
  </x:si>
  <x:si>
    <x:t xml:space="preserve">Google Places configuration and internet connection.</x:t>
  </x:si>
  <x:si>
    <x:t xml:space="preserve">PIN-07 Open a saved pin location in the device map.</x:t>
  </x:si>
  <x:si>
    <x:t xml:space="preserve">The device offers or opens the appropriate installed map application with the correct location.</x:t>
  </x:si>
  <x:si>
    <x:t xml:space="preserve">Pin with a saved location.</x:t>
  </x:si>
  <x:si>
    <x:t xml:space="preserve">Failed - my checklist item should not appear in Trip checklist</x:t>
  </x:si>
  <x:si>
    <x:t xml:space="preserve">PIN-09 Add a note and a reference link at trip and pin level.</x:t>
  </x:si>
  <x:si>
    <x:t xml:space="preserve">Content appears in the correct scope, creator labels consistently use You for the current user and links open correctly.</x:t>
  </x:si>
  <x:si>
    <x:t xml:space="preserve">Existing trip and pin.</x:t>
  </x:si>
  <x:si>
    <x:t xml:space="preserve">PIN-10 Open empty checklist, links, documents and images screens and an empty pin.</x:t>
  </x:si>
  <x:si>
    <x:t xml:space="preserve">Trip screens show useful empty states; empty pin sections do not render blank bordered wrappers.</x:t>
  </x:si>
  <x:si>
    <x:t xml:space="preserve">P2</x:t>
  </x:si>
  <x:si>
    <x:t xml:space="preserve">New empty trip and pin.</x:t>
  </x:si>
  <x:si>
    <x:t xml:space="preserve">Trip Assistant workflow</x:t>
  </x:si>
  <x:si>
    <x:t xml:space="preserve">AI-01 Open Trip Assistant with no recoverable session.</x:t>
  </x:si>
  <x:si>
    <x:t xml:space="preserve">The conversational intake starts with the destination question and the keyboard/input remain usable.</x:t>
  </x:si>
  <x:si>
    <x:t xml:space="preserve">Verified account with an available allowance.</x:t>
  </x:si>
  <x:si>
    <x:t xml:space="preserve">AI-02 Enter destination text longer than the permitted limit.</x:t>
  </x:si>
  <x:si>
    <x:t xml:space="preserve">Validation blocks progress and explains the destination limit.</x:t>
  </x:si>
  <x:si>
    <x:t xml:space="preserve">Trip Assistant intake.</x:t>
  </x:si>
  <x:si>
    <x:t xml:space="preserve">AI-03 Enter a valid start date using the date picker.</x:t>
  </x:si>
  <x:si>
    <x:t xml:space="preserve">The picker is centred on larger screens and the selected date appears correctly in the conversation.</x:t>
  </x:si>
  <x:si>
    <x:t xml:space="preserve">AI-04 Enter non-numeric, zero or invalid duration values.</x:t>
  </x:si>
  <x:si>
    <x:t xml:space="preserve">The same duration question remains active and shows a clear validation message.</x:t>
  </x:si>
  <x:si>
    <x:t xml:space="preserve">AI-05 Enter a trip brief at and beyond the API length limit.</x:t>
  </x:si>
  <x:si>
    <x:t xml:space="preserve">A valid brief advances; an excessive brief is rejected before an API request is made.</x:t>
  </x:si>
  <x:si>
    <x:t xml:space="preserve">AI-06 Review the completed intake summary and edit an earlier answer.</x:t>
  </x:si>
  <x:si>
    <x:t xml:space="preserve">The selected answer can be corrected without losing the other valid answers.</x:t>
  </x:si>
  <x:si>
    <x:t xml:space="preserve">Complete all intake questions.</x:t>
  </x:si>
  <x:si>
    <x:t xml:space="preserve">AI-07 Submit a valid first planning request.</x:t>
  </x:si>
  <x:si>
    <x:t xml:space="preserve">A progress state appears, polling continues within its limit and exactly one planning session is created.</x:t>
  </x:si>
  <x:si>
    <x:t xml:space="preserve">Stable connection and available allowance.</x:t>
  </x:si>
  <x:si>
    <x:t xml:space="preserve">AI-08 Background or force-quit the app while generation is running, then reopen it.</x:t>
  </x:si>
  <x:si>
    <x:t xml:space="preserve">The unfinished session is shown and Continue planning resumes the saved session rather than charging for another one.</x:t>
  </x:si>
  <x:si>
    <x:t xml:space="preserve">Planning job still running or recently completed.</x:t>
  </x:si>
  <x:si>
    <x:t xml:space="preserve">Pass - exit too early will not resume, but will not deduct a pass either</x:t>
  </x:si>
  <x:si>
    <x:t xml:space="preserve">AI-09 Tap Start a new trip instead on an unfinished session and cancel the confirmation.</x:t>
  </x:si>
  <x:si>
    <x:t xml:space="preserve">The pass warning appears and Keep current plan leaves the existing recovery session intact.</x:t>
  </x:si>
  <x:si>
    <x:t xml:space="preserve">Recoverable funded session.</x:t>
  </x:si>
  <x:si>
    <x:t xml:space="preserve">AI-10 Confirm Start new plan from the unfinished-session warning.</x:t>
  </x:si>
  <x:si>
    <x:t xml:space="preserve">The local recovery record is discarded, the intake restarts and the message clearly explains that another pass is needed on submission.</x:t>
  </x:si>
  <x:si>
    <x:t xml:space="preserve">AI-11 Let automatic polling time out or temporarily break connectivity during polling.</x:t>
  </x:si>
  <x:si>
    <x:t xml:space="preserve">The UI explains the delay and Check again resumes polling without creating a duplicate session.</x:t>
  </x:si>
  <x:si>
    <x:t xml:space="preserve">Use network controls or a deliberately slow test job.</x:t>
  </x:si>
  <x:si>
    <x:t xml:space="preserve">AI-12 Review a completed draft across all day accordions.</x:t>
  </x:si>
  <x:si>
    <x:t xml:space="preserve">The summary, itinerary, mapped category badges, reasons, links and checklist render without overflow or fabricated required fields.</x:t>
  </x:si>
  <x:si>
    <x:t xml:space="preserve">Completed multi-day draft.</x:t>
  </x:si>
  <x:si>
    <x:t xml:space="preserve">Pass - But let’s add a “Select all / De-select all” option</x:t>
  </x:si>
  <x:si>
    <x:t xml:space="preserve">AI-14 Request a refinement and wait for the revised draft.</x:t>
  </x:si>
  <x:si>
    <x:t xml:space="preserve">The feedback appears in chat, progress is visible and the next revision replaces the draft without charging another pass.</x:t>
  </x:si>
  <x:si>
    <x:t xml:space="preserve">Completed draft with refinement allowance remaining.</x:t>
  </x:si>
  <x:si>
    <x:t xml:space="preserve">AI-15 Accept the reviewed draft and create the trip.</x:t>
  </x:si>
  <x:si>
    <x:t xml:space="preserve">Completed draft with a subset selected.</x:t>
  </x:si>
  <x:si>
    <x:t xml:space="preserve">Trip Assistant Passes and purchases</x:t>
  </x:si>
  <x:si>
    <x:t xml:space="preserve">PAY-01 Open Settings with a fresh verified account.</x:t>
  </x:si>
  <x:si>
    <x:t xml:space="preserve">The pass card includes the complimentary allowance in the displayed total.</x:t>
  </x:si>
  <x:si>
    <x:t xml:space="preserve">Account with unused complimentary allowance.</x:t>
  </x:si>
  <x:si>
    <x:t xml:space="preserve">PAY-02 Use the complimentary planning session.</x:t>
  </x:si>
  <x:si>
    <x:t xml:space="preserve">The server claims it once, starts the session and the displayed available balance updates after refresh.</x:t>
  </x:si>
  <x:si>
    <x:t xml:space="preserve">Fresh verified account.</x:t>
  </x:si>
  <x:si>
    <x:t xml:space="preserve">PAY-03 Try to start a new session with no complimentary or purchased passes.</x:t>
  </x:si>
  <x:si>
    <x:t xml:space="preserve">The app shows the RevenueCat paywall instead of starting generation.</x:t>
  </x:si>
  <x:si>
    <x:t xml:space="preserve">No-pass account.</x:t>
  </x:si>
  <x:si>
    <x:t xml:space="preserve">PAY-04 Close the paywall without purchasing.</x:t>
  </x:si>
  <x:si>
    <x:t xml:space="preserve">The intake answers remain available and no purchase or planning session is created.</x:t>
  </x:si>
  <x:si>
    <x:t xml:space="preserve">PAY-05 Purchase the single-pass package through Apple or Google sandbox billing.</x:t>
  </x:si>
  <x:si>
    <x:t xml:space="preserve">The native purchase succeeds, RevenueCat grants the correct currency and the app can retry the pending plan.</x:t>
  </x:si>
  <x:si>
    <x:t xml:space="preserve">Sandbox tester and store-linked production product.</x:t>
  </x:si>
  <x:si>
    <x:t xml:space="preserve">PAY-06 Purchase the five-pass bundle.</x:t>
  </x:si>
  <x:si>
    <x:t xml:space="preserve">The displayed localised price matches the store, five passes are granted and the paywall closes successfully.</x:t>
  </x:si>
  <x:si>
    <x:t xml:space="preserve">Sandbox tester and store-linked bundle.</x:t>
  </x:si>
  <x:si>
    <x:t xml:space="preserve">PAY-07 Start a funded session when exactly one purchased pass remains.</x:t>
  </x:si>
  <x:si>
    <x:t xml:space="preserve">The session starts, RevenueCat reaches a zero balance and the API does not report a false debit failure.</x:t>
  </x:si>
  <x:si>
    <x:t xml:space="preserve">Account with exactly one purchased pass.</x:t>
  </x:si>
  <x:si>
    <x:t xml:space="preserve">PAY-08 Sign into the same Wafflelog account on another device after purchase or spend.</x:t>
  </x:si>
  <x:si>
    <x:t xml:space="preserve">Both devices resolve the same RevenueCat customer and show the refreshed combined pass balance without cross-account leakage.</x:t>
  </x:si>
  <x:si>
    <x:t xml:space="preserve">One account on both devices plus a second control account.</x:t>
  </x:si>
  <x:si>
    <x:t xml:space="preserve">Companions and permissions</x:t>
  </x:si>
  <x:si>
    <x:t xml:space="preserve">COL-01 Search for another user and send a trip invitation.</x:t>
  </x:si>
  <x:si>
    <x:t xml:space="preserve">The invitation appears as pending for the owner and the invitee receives the matching notification.</x:t>
  </x:si>
  <x:si>
    <x:t xml:space="preserve">Owner and invitee accounts.</x:t>
  </x:si>
  <x:si>
    <x:t xml:space="preserve">COL-02 Accept a trip invitation from Notification Centre.</x:t>
  </x:si>
  <x:si>
    <x:t xml:space="preserve">The trip downloads, membership becomes active and the owner receives an accepted notification.</x:t>
  </x:si>
  <x:si>
    <x:t xml:space="preserve">Pending invitation.</x:t>
  </x:si>
  <x:si>
    <x:t xml:space="preserve">COL-03 Reject a trip invitation.</x:t>
  </x:si>
  <x:si>
    <x:t xml:space="preserve">The invitation becomes declined, no trip access is granted and the owner sees the correct status/notification.</x:t>
  </x:si>
  <x:si>
    <x:t xml:space="preserve">COL-04 Withdraw a pending invitation as the owner.</x:t>
  </x:si>
  <x:si>
    <x:t xml:space="preserve">The invitation no longer grants an action to the invitee and the companion list updates.</x:t>
  </x:si>
  <x:si>
    <x:t xml:space="preserve">COL-05 Edit shared trip content as an active companion.</x:t>
  </x:si>
  <x:si>
    <x:t xml:space="preserve">Permitted content changes save locally, sync remotely and identify the correct creator on the owner device.</x:t>
  </x:si>
  <x:si>
    <x:t xml:space="preserve">Accepted companion.</x:t>
  </x:si>
  <x:si>
    <x:t xml:space="preserve">COL-06 Open the companion list as a non-owner.</x:t>
  </x:si>
  <x:si>
    <x:t xml:space="preserve">Owner-only invite, disable and restore controls are hidden; Leave trip remains available.</x:t>
  </x:si>
  <x:si>
    <x:t xml:space="preserve">Companion device</x:t>
  </x:si>
  <x:si>
    <x:t xml:space="preserve">COL-07 Disable an active companion and cancel the confirmation.</x:t>
  </x:si>
  <x:si>
    <x:t xml:space="preserve">The warning explains that content remains and cancellation leaves access unchanged.</x:t>
  </x:si>
  <x:si>
    <x:t xml:space="preserve">Owner device</x:t>
  </x:si>
  <x:si>
    <x:t xml:space="preserve">COL-08 Confirm disabling an active companion.</x:t>
  </x:si>
  <x:si>
    <x:t xml:space="preserve">The companion loses remote access after refresh while their existing contributions remain in the trip.</x:t>
  </x:si>
  <x:si>
    <x:t xml:space="preserve">Accepted companion with created content.</x:t>
  </x:si>
  <x:si>
    <x:t xml:space="preserve">COL-09 Restore an owner-disabled companion.</x:t>
  </x:si>
  <x:si>
    <x:t xml:space="preserve">Restore is offered only for owner-disabled membership and the companion regains access without another invitation.</x:t>
  </x:si>
  <x:si>
    <x:t xml:space="preserve">Complete COL-08 first.</x:t>
  </x:si>
  <x:si>
    <x:t xml:space="preserve">COL-10 Leave a trip voluntarily as a companion.</x:t>
  </x:si>
  <x:si>
    <x:t xml:space="preserve">The companion loses access, local trip data is purged and their existing contributions remain for the trip.</x:t>
  </x:si>
  <x:si>
    <x:t xml:space="preserve">COL-11 Re-invite a companion who voluntarily left and accept the new invitation.</x:t>
  </x:si>
  <x:si>
    <x:t xml:space="preserve">A fresh invitation is required and acceptance restores access without resurrecting stale offline changes from before rejoining.</x:t>
  </x:si>
  <x:si>
    <x:t xml:space="preserve">Complete COL-10 and make an offline stale change before rejoining.</x:t>
  </x:si>
  <x:si>
    <x:t xml:space="preserve">COL-12 Open companion search with no query, then search for and invite a matching username.</x:t>
  </x:si>
  <x:si>
    <x:t xml:space="preserve">No user records appear before text is entered; matching results appear after search and a successful invite returns to the companion screen.</x:t>
  </x:si>
  <x:si>
    <x:t xml:space="preserve">Trip owner and an inviteable second account.</x:t>
  </x:si>
  <x:si>
    <x:t xml:space="preserve">Push and in-app notifications</x:t>
  </x:si>
  <x:si>
    <x:t xml:space="preserve">NOTIF-01 Grant notification permission on a physical device.</x:t>
  </x:si>
  <x:si>
    <x:t xml:space="preserve">An Expo push token is registered for the signed-in user and Settings reports notifications as On.</x:t>
  </x:si>
  <x:si>
    <x:t xml:space="preserve">Physical iOS and Android</x:t>
  </x:si>
  <x:si>
    <x:t xml:space="preserve">Fresh install or reset OS permission.</x:t>
  </x:si>
  <x:si>
    <x:t xml:space="preserve">NOTIF-02 Deny notification permission, then use Settings to manage it.</x:t>
  </x:si>
  <x:si>
    <x:t xml:space="preserve">The app remains usable, reports the disabled state and opens system settings when appropriate.</x:t>
  </x:si>
  <x:si>
    <x:t xml:space="preserve">Fresh permission state.</x:t>
  </x:si>
  <x:si>
    <x:t xml:space="preserve">NOTIF-03 Receive trip invitation and invitation-accepted pushes while the app is backgrounded.</x:t>
  </x:si>
  <x:si>
    <x:t xml:space="preserve">The OS presents one correctly worded push to the intended user for each event.</x:t>
  </x:si>
  <x:si>
    <x:t xml:space="preserve">Two physical devices</x:t>
  </x:si>
  <x:si>
    <x:t xml:space="preserve">Push permission enabled.</x:t>
  </x:si>
  <x:si>
    <x:t xml:space="preserve">NOTIF-04 Add an expense and update trip dates from another editor.</x:t>
  </x:si>
  <x:si>
    <x:t xml:space="preserve">Expense added and trip updated each create both in-app notifications and push notifications for other active members.</x:t>
  </x:si>
  <x:si>
    <x:t xml:space="preserve">Shared trip and push permission enabled.</x:t>
  </x:si>
  <x:si>
    <x:t xml:space="preserve">NOTIF-05 Add a note from another editor.</x:t>
  </x:si>
  <x:si>
    <x:t xml:space="preserve">The notification appears in Notification Centre and increments its unread state without sending a push.</x:t>
  </x:si>
  <x:si>
    <x:t xml:space="preserve">Shared trip.</x:t>
  </x:si>
  <x:si>
    <x:t xml:space="preserve">NOTIF-06 Open Notification Centre after another device creates a notification.</x:t>
  </x:si>
  <x:si>
    <x:t xml:space="preserve">The list refreshes on focus without requiring a whole-app restart or manual pull-to-refresh.</x:t>
  </x:si>
  <x:si>
    <x:t xml:space="preserve">Unread remote notification.</x:t>
  </x:si>
  <x:si>
    <x:t xml:space="preserve">NOTIF-07 Leave unread notifications visible for at least half a second.</x:t>
  </x:si>
  <x:si>
    <x:t xml:space="preserve">Visible notifications are marked read in a batch and the home badge decreases without requiring invitation acceptance/rejection.</x:t>
  </x:si>
  <x:si>
    <x:t xml:space="preserve">Several unread notification types.</x:t>
  </x:si>
  <x:si>
    <x:t xml:space="preserve">NOTIF-08 Sign into the same account on two physical devices and trigger one notification.</x:t>
  </x:si>
  <x:si>
    <x:t xml:space="preserve">Every currently registered device token receives the push; stale-token failures do not prevent delivery to valid devices.</x:t>
  </x:si>
  <x:si>
    <x:t xml:space="preserve">Same account registered on both devices.</x:t>
  </x:si>
  <x:si>
    <x:t xml:space="preserve">Expenses and shared balances</x:t>
  </x:si>
  <x:si>
    <x:t xml:space="preserve">EXP-01 Add an expense and split it equally among all active trip members.</x:t>
  </x:si>
  <x:si>
    <x:t xml:space="preserve">Paid by defaults appropriately, every active member is selectable and allocations total exactly to the expense.</x:t>
  </x:si>
  <x:si>
    <x:t xml:space="preserve">Shared trip with at least three members if possible.</x:t>
  </x:si>
  <x:si>
    <x:t xml:space="preserve">EXP-02 Exclude the payer or another member from an expense split.</x:t>
  </x:si>
  <x:si>
    <x:t xml:space="preserve">Only selected participants receive a share and the resulting balances remain mathematically correct.</x:t>
  </x:si>
  <x:si>
    <x:t xml:space="preserve">EXP-03 Review the trip expense dashboard for one currency.</x:t>
  </x:si>
  <x:si>
    <x:t xml:space="preserve">Trip spend, You paid and Your cost are clear; per-person owed/owing balances and item breakdowns reconcile.</x:t>
  </x:si>
  <x:si>
    <x:t xml:space="preserve">Several expenses with different payers.</x:t>
  </x:si>
  <x:si>
    <x:t xml:space="preserve">EXP-04 Record expenses in two currencies.</x:t>
  </x:si>
  <x:si>
    <x:t xml:space="preserve">Each currency has a separate ledger and no automatic conversion or combined balance is shown.</x:t>
  </x:si>
  <x:si>
    <x:t xml:space="preserve">Use GBP and EUR test expenses.</x:t>
  </x:si>
  <x:si>
    <x:t xml:space="preserve">EXP-05 Review pin-level expense cards.</x:t>
  </x:si>
  <x:si>
    <x:t xml:space="preserve">Amount aligns correctly; paid by and recorded by use separate lines; split details are compact and hidden for a one-person expense.</x:t>
  </x:si>
  <x:si>
    <x:t xml:space="preserve">Pins with single- and multi-person expenses.</x:t>
  </x:si>
  <x:si>
    <x:t xml:space="preserve">EXP-06 View or attempt to remove an expense created by another member.</x:t>
  </x:si>
  <x:si>
    <x:t xml:space="preserve">The delete action is shown only to users allowed to delete that expense; no misleading bin icon is displayed otherwise.</x:t>
  </x:si>
  <x:si>
    <x:t xml:space="preserve">Shared trip with expenses from both users.</x:t>
  </x:si>
  <x:si>
    <x:t xml:space="preserve">EXP-07 Refresh the shared trip after another device adds or deletes an expense.</x:t>
  </x:si>
  <x:si>
    <x:t xml:space="preserve">Expense, participant allocations and derived balances update together without a partial or stale ledger.</x:t>
  </x:si>
  <x:si>
    <x:t xml:space="preserve">Images and documents</x:t>
  </x:si>
  <x:si>
    <x:t xml:space="preserve">MEDIA-01 Add a large HEIF, JPEG or Android camera image to a pin.</x:t>
  </x:si>
  <x:si>
    <x:t xml:space="preserve">The image is accepted, converted if needed, resized to a maximum 1024px dimension and queued for upload.</x:t>
  </x:si>
  <x:si>
    <x:t xml:space="preserve">Camera-roll permission and large source image.</x:t>
  </x:si>
  <x:si>
    <x:t xml:space="preserve">MEDIA-02 Wait for an image upload without restarting the app.</x:t>
  </x:si>
  <x:si>
    <x:t xml:space="preserve">The pending record uploads during the active sync trigger and eventually reports a synced storage location.</x:t>
  </x:si>
  <x:si>
    <x:t xml:space="preserve">Stable internet connection.</x:t>
  </x:si>
  <x:si>
    <x:t xml:space="preserve">MEDIA-03 Refresh the same trip on another device and open a remote image.</x:t>
  </x:si>
  <x:si>
    <x:t xml:space="preserve">Metadata arrives first, a loading indicator appears and the file downloads lazily before display.</x:t>
  </x:si>
  <x:si>
    <x:t xml:space="preserve">Synced remote image.</x:t>
  </x:si>
  <x:si>
    <x:t xml:space="preserve">MEDIA-04 Delete an image on one device and refresh another device.</x:t>
  </x:si>
  <x:si>
    <x:t xml:space="preserve">The image card disappears on both devices and the Storage object is removed when permitted.</x:t>
  </x:si>
  <x:si>
    <x:t xml:space="preserve">Synced image.</x:t>
  </x:si>
  <x:si>
    <x:t xml:space="preserve">MEDIA-05 Add a supported document, sync it and open it on another device.</x:t>
  </x:si>
  <x:si>
    <x:t xml:space="preserve">The document uploads, downloads lazily and opens through the native document/sharing flow rather than the web viewer.</x:t>
  </x:si>
  <x:si>
    <x:t xml:space="preserve">Supported test PDF or document.</x:t>
  </x:si>
  <x:si>
    <x:t xml:space="preserve">MEDIA-06 Delete a document and verify unrelated reference links still use the web viewer.</x:t>
  </x:si>
  <x:si>
    <x:t xml:space="preserve">Document metadata and Storage object are removed; ordinary web links continue opening correctly.</x:t>
  </x:si>
  <x:si>
    <x:t xml:space="preserve">Synced document and reference link.</x:t>
  </x:si>
  <x:si>
    <x:t xml:space="preserve">Support and feedback</x:t>
  </x:si>
  <x:si>
    <x:t xml:space="preserve">SUP-01 Open Settings, select Contact us and review the form before entering a message.</x:t>
  </x:si>
  <x:si>
    <x:t xml:space="preserve">Feedback, Bug and Help can be selected; a blank message cannot be sent; the character counter respects the 2,000-character limit and the account email is shown.</x:t>
  </x:si>
  <x:si>
    <x:t xml:space="preserve">Signed-in verified account.</x:t>
  </x:si>
  <x:si>
    <x:t xml:space="preserve">SUP-02 Submit a valid message through Contact us.</x:t>
  </x:si>
  <x:si>
    <x:t xml:space="preserve">The support inbox receives one email with the selected category, exact message, account reply-to address and app, build, platform and OS context; the app shows success and can start another message.</x:t>
  </x:si>
  <x:si>
    <x:t xml:space="preserve">Deployed submit-feedback function, configured Resend secret and access to support@wafflelog.co.uk.</x:t>
  </x:si>
  <x:si>
    <x:t xml:space="preserve">SUP-03 Attempt to submit feedback while offline or while delivery is unavailable, then reconnect and retry.</x:t>
  </x:si>
  <x:si>
    <x:t xml:space="preserve">A clear retry message appears without losing the category or message; retry succeeds without sending a duplicate email and then shows the success state.</x:t>
  </x:si>
  <x:si>
    <x:t xml:space="preserve">Controllable network and access to the support inbox.</x:t>
  </x:si>
  <x:si>
    <x:t xml:space="preserve">Layout, permissions and launch compliance</x:t>
  </x:si>
  <x:si>
    <x:t xml:space="preserve">UX-01 Review core screens on a small iPhone, large iPhone, iPad and representative Android phone.</x:t>
  </x:si>
  <x:si>
    <x:t xml:space="preserve">Content respects safe areas, does not touch screen edges and remains readable without clipped actions.</x:t>
  </x:si>
  <x:si>
    <x:t xml:space="preserve">Use the same representative account state.</x:t>
  </x:si>
  <x:si>
    <x:t xml:space="preserve">UX-02 Open forms and chat inputs, type near the bottom of the screen and dismiss or navigate away.</x:t>
  </x:si>
  <x:si>
    <x:t xml:space="preserve">The keyboard does not cover the active input, scrolling reaches the latest content and the keyboard dismisses on route changes.</x:t>
  </x:si>
  <x:si>
    <x:t xml:space="preserve">Test search, user search, expense and Trip Assistant inputs.</x:t>
  </x:si>
  <x:si>
    <x:t xml:space="preserve">UX-03 Exercise camera roll, notification and location-related permission prompts.</x:t>
  </x:si>
  <x:si>
    <x:t xml:space="preserve">Every prompt has clear Wafflelog-specific purpose text and denial leaves a recoverable path through Settings.</x:t>
  </x:si>
  <x:si>
    <x:t xml:space="preserve">Fresh permission state where possible.</x:t>
  </x:si>
  <x:si>
    <x:t xml:space="preserve">UX-04 Complete a final privacy and account-isolation check.</x:t>
  </x:si>
  <x:si>
    <x:t xml:space="preserve">No email, JWT, Supabase key, RevenueCat secret, other user's trip data or sensitive debug log is exposed in normal screens or production logs.</x:t>
  </x:si>
  <x:si>
    <x:t xml:space="preserve">Production-profile build and two accounts.</x:t>
  </x:si>
  <x:si>
    <x:t xml:space="preserve">Testing round log</x:t>
  </x:si>
  <x:si>
    <x:t xml:space="preserve">Record the build and device context once per round. Do not store passwords or store-account credentials in this workbook.</x:t>
  </x:si>
  <x:si>
    <x:t xml:space="preserve">Round</x:t>
  </x:si>
  <x:si>
    <x:t xml:space="preserve">Date</x:t>
  </x:si>
  <x:si>
    <x:t xml:space="preserve">App version</x:t>
  </x:si>
  <x:si>
    <x:t xml:space="preserve">Build number</x:t>
  </x:si>
  <x:si>
    <x:t xml:space="preserve">Platform / channel</x:t>
  </x:si>
  <x:si>
    <x:t xml:space="preserve">Device</x:t>
  </x:si>
  <x:si>
    <x:t xml:space="preserve">OS version</x:t>
  </x:si>
  <x:si>
    <x:t xml:space="preserve">Tester</x:t>
  </x:si>
  <x:si>
    <x:t xml:space="preserve">Overall result</x:t>
  </x:si>
  <x:si>
    <x:t xml:space="preserve">Notes</x:t>
  </x:si>
  <x:si>
    <x:t xml:space="preserve">iOS TestFlight</x:t>
  </x:si>
  <x:si>
    <x:t xml:space="preserve">Android internal test</x:t>
  </x:si>
  <x:si>
    <x:t xml:space="preserve">Regression</x:t>
  </x:si>
  <x:si>
    <x:t xml:space="preserve">Suggested test personas</x:t>
  </x:si>
  <x:si>
    <x:t xml:space="preserve">Persona</x:t>
  </x:si>
  <x:si>
    <x:t xml:space="preserve">Purpose</x:t>
  </x:si>
  <x:si>
    <x:t xml:space="preserve">Required state</x:t>
  </x:si>
  <x:si>
    <x:t xml:space="preserve">Owner A</x:t>
  </x:si>
  <x:si>
    <x:t xml:space="preserve">Trip owner and purchaser</x:t>
  </x:si>
  <x:si>
    <x:t xml:space="preserve">Verified; push enabled; owns a shared trip; at least two paid passes</x:t>
  </x:si>
  <x:si>
    <x:t xml:space="preserve">Companion B</x:t>
  </x:si>
  <x:si>
    <x:t xml:space="preserve">Invitation and collaboration</x:t>
  </x:si>
  <x:si>
    <x:t xml:space="preserve">Verified on a second physical device; push enabled</x:t>
  </x:si>
  <x:si>
    <x:t xml:space="preserve">Fresh account C</x:t>
  </x:si>
  <x:si>
    <x:t xml:space="preserve">Complimentary allowance</x:t>
  </x:si>
  <x:si>
    <x:t xml:space="preserve">Verified; complimentary Trip Assistant session unused</x:t>
  </x:si>
  <x:si>
    <x:t xml:space="preserve">No-pass account D</x:t>
  </x:si>
  <x:si>
    <x:t xml:space="preserve">Paywall and insufficient balance</x:t>
  </x:si>
  <x:si>
    <x:t xml:space="preserve">Verified; complimentary allowance used; zero purchased passes</x:t>
  </x:si>
</x:sst>
</file>

<file path=xl/styles.xml><?xml version="1.0" encoding="utf-8"?>
<x:styleSheet xmlns:x="http://schemas.openxmlformats.org/spreadsheetml/2006/main">
  <x:numFmts count="2">
    <x:numFmt numFmtId="0" formatCode="General"/>
    <x:numFmt numFmtId="59" formatCode="dd mmm yyyy"/>
  </x:numFmts>
  <x:fonts count="14">
    <x:font>
      <x:sz val="11"/>
      <x:color indexed="8"/>
      <x:name val="Carlito"/>
    </x:font>
    <x:font>
      <x:sz val="12"/>
      <x:color indexed="8"/>
      <x:name val="Carlito"/>
    </x:font>
    <x:font>
      <x:sz val="14"/>
      <x:color indexed="8"/>
      <x:name val="Carlito"/>
    </x:font>
    <x:font>
      <x:sz val="12"/>
      <x:color indexed="8"/>
      <x:name val="Helvetica Neue"/>
    </x:font>
    <x:font>
      <x:u val="single"/>
      <x:sz val="12"/>
      <x:color indexed="11"/>
      <x:name val="Carlito"/>
    </x:font>
    <x:font>
      <x:sz val="15"/>
      <x:color indexed="8"/>
      <x:name val="Calibri"/>
    </x:font>
    <x:font>
      <x:b/>
      <x:sz val="16"/>
      <x:color indexed="13"/>
      <x:name val="Arial"/>
    </x:font>
    <x:font>
      <x:i/>
      <x:sz val="10"/>
      <x:color indexed="13"/>
      <x:name val="Arial"/>
    </x:font>
    <x:font>
      <x:b/>
      <x:sz val="10"/>
      <x:color indexed="14"/>
      <x:name val="Arial"/>
    </x:font>
    <x:font>
      <x:b/>
      <x:sz val="10"/>
      <x:color indexed="15"/>
      <x:name val="Arial"/>
    </x:font>
    <x:font>
      <x:b/>
      <x:sz val="10"/>
      <x:color indexed="13"/>
      <x:name val="Arial"/>
    </x:font>
    <x:font>
      <x:sz val="10"/>
      <x:color indexed="13"/>
      <x:name val="Arial"/>
    </x:font>
    <x:font>
      <x:i/>
      <x:sz val="10"/>
      <x:color indexed="34"/>
      <x:name val="Arial"/>
    </x:font>
    <x:font>
      <x:b/>
      <x:sz val="11"/>
      <x:color indexed="15"/>
      <x:name val="Arial"/>
    </x:font>
  </x:fonts>
  <x:fills count="10">
    <x:fill>
      <x:patternFill patternType="none"/>
    </x:fill>
    <x:fill>
      <x:patternFill patternType="gray125"/>
    </x:fill>
    <x:fill>
      <x:patternFill patternType="solid">
        <x:fgColor indexed="9"/>
      </x:patternFill>
    </x:fill>
    <x:fill>
      <x:patternFill patternType="solid">
        <x:fgColor indexed="10"/>
      </x:patternFill>
    </x:fill>
    <x:fill>
      <x:patternFill patternType="solid">
        <x:fgColor indexed="14"/>
      </x:patternFill>
    </x:fill>
    <x:fill>
      <x:patternFill patternType="solid">
        <x:fgColor indexed="15"/>
      </x:patternFill>
    </x:fill>
    <x:fill>
      <x:patternFill patternType="solid">
        <x:fgColor indexed="16"/>
      </x:patternFill>
    </x:fill>
    <x:fill>
      <x:patternFill patternType="solid">
        <x:fgColor indexed="17"/>
      </x:patternFill>
    </x:fill>
    <x:fill>
      <x:patternFill patternType="solid">
        <x:fgColor indexed="18"/>
      </x:patternFill>
    </x:fill>
    <x:fill>
      <x:patternFill patternType="solid">
        <x:fgColor indexed="19"/>
      </x:patternFill>
    </x:fill>
  </x:fills>
  <x:borders count="36">
    <x:border>
      <x:left/>
      <x:right/>
      <x:top/>
      <x:bottom/>
      <x:diagonal/>
    </x:border>
    <x:border>
      <x:left style="thin">
        <x:color indexed="12"/>
      </x:left>
      <x:right/>
      <x:top style="thin">
        <x:color indexed="12"/>
      </x:top>
      <x:bottom/>
      <x:diagonal/>
    </x:border>
    <x:border>
      <x:left/>
      <x:right/>
      <x:top style="thin">
        <x:color indexed="12"/>
      </x:top>
      <x:bottom/>
      <x:diagonal/>
    </x:border>
    <x:border>
      <x:left/>
      <x:right style="thin">
        <x:color indexed="12"/>
      </x:right>
      <x:top style="thin">
        <x:color indexed="12"/>
      </x:top>
      <x:bottom/>
      <x:diagonal/>
    </x:border>
    <x:border>
      <x:left style="thin">
        <x:color indexed="12"/>
      </x:left>
      <x:right/>
      <x:top/>
      <x:bottom/>
      <x:diagonal/>
    </x:border>
    <x:border>
      <x:left/>
      <x:right/>
      <x:top/>
      <x:bottom/>
      <x:diagonal/>
    </x:border>
    <x:border>
      <x:left/>
      <x:right style="thin">
        <x:color indexed="12"/>
      </x:right>
      <x:top/>
      <x:bottom/>
      <x:diagonal/>
    </x:border>
    <x:border>
      <x:left style="thin">
        <x:color indexed="12"/>
      </x:left>
      <x:right/>
      <x:top/>
      <x:bottom style="thin">
        <x:color indexed="18"/>
      </x:bottom>
      <x:diagonal/>
    </x:border>
    <x:border>
      <x:left/>
      <x:right/>
      <x:top/>
      <x:bottom style="thin">
        <x:color indexed="18"/>
      </x:bottom>
      <x:diagonal/>
    </x:border>
    <x:border>
      <x:left/>
      <x:right style="thin">
        <x:color indexed="12"/>
      </x:right>
      <x:top/>
      <x:bottom style="thin">
        <x:color indexed="18"/>
      </x:bottom>
      <x:diagonal/>
    </x:border>
    <x:border>
      <x:left style="thin">
        <x:color indexed="18"/>
      </x:left>
      <x:right/>
      <x:top style="thin">
        <x:color indexed="18"/>
      </x:top>
      <x:bottom style="thin">
        <x:color indexed="18"/>
      </x:bottom>
      <x:diagonal/>
    </x:border>
    <x:border>
      <x:left/>
      <x:right/>
      <x:top style="thin">
        <x:color indexed="18"/>
      </x:top>
      <x:bottom style="thin">
        <x:color indexed="18"/>
      </x:bottom>
      <x:diagonal/>
    </x:border>
    <x:border>
      <x:left/>
      <x:right style="thin">
        <x:color indexed="18"/>
      </x:right>
      <x:top style="thin">
        <x:color indexed="18"/>
      </x:top>
      <x:bottom style="thin">
        <x:color indexed="18"/>
      </x:bottom>
      <x:diagonal/>
    </x:border>
    <x:border>
      <x:left style="thin">
        <x:color indexed="18"/>
      </x:left>
      <x:right/>
      <x:top style="thin">
        <x:color indexed="18"/>
      </x:top>
      <x:bottom style="thin">
        <x:color indexed="15"/>
      </x:bottom>
      <x:diagonal/>
    </x:border>
    <x:border>
      <x:left/>
      <x:right/>
      <x:top style="thin">
        <x:color indexed="18"/>
      </x:top>
      <x:bottom style="thin">
        <x:color indexed="15"/>
      </x:bottom>
      <x:diagonal/>
    </x:border>
    <x:border>
      <x:left/>
      <x:right style="thin">
        <x:color indexed="18"/>
      </x:right>
      <x:top style="thin">
        <x:color indexed="18"/>
      </x:top>
      <x:bottom style="thin">
        <x:color indexed="15"/>
      </x:bottom>
      <x:diagonal/>
    </x:border>
    <x:border>
      <x:left style="thin">
        <x:color indexed="18"/>
      </x:left>
      <x:right style="thin">
        <x:color indexed="18"/>
      </x:right>
      <x:top style="thin">
        <x:color indexed="18"/>
      </x:top>
      <x:bottom style="thin">
        <x:color indexed="15"/>
      </x:bottom>
      <x:diagonal/>
    </x:border>
    <x:border>
      <x:left style="thin">
        <x:color indexed="12"/>
      </x:left>
      <x:right/>
      <x:top style="thin">
        <x:color indexed="15"/>
      </x:top>
      <x:bottom style="thin">
        <x:color indexed="15"/>
      </x:bottom>
      <x:diagonal/>
    </x:border>
    <x:border>
      <x:left/>
      <x:right/>
      <x:top style="thin">
        <x:color indexed="15"/>
      </x:top>
      <x:bottom style="thin">
        <x:color indexed="15"/>
      </x:bottom>
      <x:diagonal/>
    </x:border>
    <x:border>
      <x:left/>
      <x:right style="thin">
        <x:color indexed="12"/>
      </x:right>
      <x:top style="thin">
        <x:color indexed="15"/>
      </x:top>
      <x:bottom style="thin">
        <x:color indexed="15"/>
      </x:bottom>
      <x:diagonal/>
    </x:border>
    <x:border>
      <x:left style="thin">
        <x:color indexed="12"/>
      </x:left>
      <x:right/>
      <x:top style="thin">
        <x:color indexed="15"/>
      </x:top>
      <x:bottom/>
      <x:diagonal/>
    </x:border>
    <x:border>
      <x:left/>
      <x:right/>
      <x:top style="thin">
        <x:color indexed="15"/>
      </x:top>
      <x:bottom/>
      <x:diagonal/>
    </x:border>
    <x:border>
      <x:left/>
      <x:right/>
      <x:top style="thin">
        <x:color indexed="15"/>
      </x:top>
      <x:bottom style="thin">
        <x:color indexed="27"/>
      </x:bottom>
      <x:diagonal/>
    </x:border>
    <x:border>
      <x:left/>
      <x:right style="thin">
        <x:color indexed="12"/>
      </x:right>
      <x:top style="thin">
        <x:color indexed="15"/>
      </x:top>
      <x:bottom/>
      <x:diagonal/>
    </x:border>
    <x:border>
      <x:left/>
      <x:right/>
      <x:top style="thin">
        <x:color indexed="27"/>
      </x:top>
      <x:bottom style="thin">
        <x:color indexed="27"/>
      </x:bottom>
      <x:diagonal/>
    </x:border>
    <x:border>
      <x:left style="thin">
        <x:color indexed="12"/>
      </x:left>
      <x:right/>
      <x:top/>
      <x:bottom style="thin">
        <x:color indexed="15"/>
      </x:bottom>
      <x:diagonal/>
    </x:border>
    <x:border>
      <x:left/>
      <x:right/>
      <x:top/>
      <x:bottom style="thin">
        <x:color indexed="15"/>
      </x:bottom>
      <x:diagonal/>
    </x:border>
    <x:border>
      <x:left/>
      <x:right style="thin">
        <x:color indexed="12"/>
      </x:right>
      <x:top/>
      <x:bottom style="thin">
        <x:color indexed="15"/>
      </x:bottom>
      <x:diagonal/>
    </x:border>
    <x:border>
      <x:left/>
      <x:right/>
      <x:top style="thin">
        <x:color indexed="27"/>
      </x:top>
      <x:bottom style="thin">
        <x:color indexed="15"/>
      </x:bottom>
      <x:diagonal/>
    </x:border>
    <x:border>
      <x:left/>
      <x:right/>
      <x:top style="thin">
        <x:color indexed="27"/>
      </x:top>
      <x:bottom/>
      <x:diagonal/>
    </x:border>
    <x:border>
      <x:left style="thin">
        <x:color indexed="12"/>
      </x:left>
      <x:right/>
      <x:top/>
      <x:bottom style="thin">
        <x:color indexed="27"/>
      </x:bottom>
      <x:diagonal/>
    </x:border>
    <x:border>
      <x:left/>
      <x:right/>
      <x:top/>
      <x:bottom style="thin">
        <x:color indexed="27"/>
      </x:bottom>
      <x:diagonal/>
    </x:border>
    <x:border>
      <x:left/>
      <x:right style="thin">
        <x:color indexed="12"/>
      </x:right>
      <x:top/>
      <x:bottom style="thin">
        <x:color indexed="27"/>
      </x:bottom>
      <x:diagonal/>
    </x:border>
    <x:border>
      <x:left style="thin">
        <x:color indexed="27"/>
      </x:left>
      <x:right style="thin">
        <x:color indexed="27"/>
      </x:right>
      <x:top style="thin">
        <x:color indexed="27"/>
      </x:top>
      <x:bottom style="thin">
        <x:color indexed="27"/>
      </x:bottom>
      <x:diagonal/>
    </x:border>
    <x:border>
      <x:left style="thin">
        <x:color indexed="12"/>
      </x:left>
      <x:right/>
      <x:top style="thin">
        <x:color indexed="27"/>
      </x:top>
      <x:bottom/>
      <x:diagonal/>
    </x:border>
    <x:border>
      <x:left/>
      <x:right style="thin">
        <x:color indexed="12"/>
      </x:right>
      <x:top style="thin">
        <x:color indexed="27"/>
      </x:top>
      <x:bottom/>
      <x:diagonal/>
    </x:border>
  </x:borders>
  <x:cellStyleXfs count="1">
    <x:xf numFmtId="0" fontId="0" applyNumberFormat="0" applyFont="1" applyFill="0" applyBorder="0" applyAlignment="1" applyProtection="0">
      <x:alignment vertical="bottom"/>
    </x:xf>
  </x:cellStyleXfs>
  <x:cellXfs count="96">
    <x:xf numFmtId="0" fontId="0" applyNumberFormat="0" applyFont="1" applyFill="0" applyBorder="0" applyAlignment="1" applyProtection="0">
      <x:alignment vertical="bottom"/>
    </x:xf>
    <x:xf numFmtId="0" fontId="1" applyNumberFormat="0" applyFont="1" applyFill="0" applyBorder="0" applyAlignment="1" applyProtection="0">
      <x:alignment horizontal="left" vertical="bottom" wrapText="1"/>
    </x:xf>
    <x:xf numFmtId="0" fontId="2" applyNumberFormat="0" applyFont="1" applyFill="0" applyBorder="0" applyAlignment="1" applyProtection="0">
      <x:alignment horizontal="left" vertical="bottom"/>
    </x:xf>
    <x:xf numFmtId="0" fontId="1" fillId="2" applyNumberFormat="0" applyFont="1" applyFill="1" applyBorder="0" applyAlignment="1" applyProtection="0">
      <x:alignment horizontal="left" vertical="bottom"/>
    </x:xf>
    <x:xf numFmtId="0" fontId="1" fillId="3" applyNumberFormat="0" applyFont="1" applyFill="1" applyBorder="0" applyAlignment="1" applyProtection="0">
      <x:alignment horizontal="left" vertical="bottom"/>
    </x:xf>
    <x:xf numFmtId="0" fontId="4" fillId="3" applyNumberFormat="0" applyFont="1" applyFill="1" applyBorder="0" applyAlignment="1" applyProtection="0">
      <x:alignment horizontal="left" vertical="bottom"/>
    </x:xf>
    <x:xf numFmtId="0" fontId="0" applyNumberFormat="1" applyFont="1" applyFill="0" applyBorder="0" applyAlignment="1" applyProtection="0">
      <x:alignment vertical="bottom"/>
    </x:xf>
    <x:xf numFmtId="0" fontId="0" borderId="1" applyNumberFormat="0" applyFont="1" applyFill="0" applyBorder="1" applyAlignment="1" applyProtection="0">
      <x:alignment vertical="bottom"/>
    </x:xf>
    <x:xf numFmtId="0" fontId="0" borderId="2" applyNumberFormat="0" applyFont="1" applyFill="0" applyBorder="1" applyAlignment="1" applyProtection="0">
      <x:alignment vertical="bottom"/>
    </x:xf>
    <x:xf numFmtId="0" fontId="0" borderId="3" applyNumberFormat="0" applyFont="1" applyFill="0" applyBorder="1" applyAlignment="1" applyProtection="0">
      <x:alignment vertical="bottom"/>
    </x:xf>
    <x:xf numFmtId="49" fontId="6" fillId="4" borderId="4" applyNumberFormat="1" applyFont="1" applyFill="1" applyBorder="1" applyAlignment="1" applyProtection="0">
      <x:alignment vertical="center"/>
    </x:xf>
    <x:xf numFmtId="0" fontId="6" fillId="4" borderId="5" applyNumberFormat="0" applyFont="1" applyFill="1" applyBorder="1" applyAlignment="1" applyProtection="0">
      <x:alignment vertical="center"/>
    </x:xf>
    <x:xf numFmtId="0" fontId="6" fillId="4" borderId="6" applyNumberFormat="0" applyFont="1" applyFill="1" applyBorder="1" applyAlignment="1" applyProtection="0">
      <x:alignment vertical="center"/>
    </x:xf>
    <x:xf numFmtId="49" fontId="7" fillId="4" borderId="4" applyNumberFormat="1" applyFont="1" applyFill="1" applyBorder="1" applyAlignment="1" applyProtection="0">
      <x:alignment vertical="center" wrapText="1"/>
    </x:xf>
    <x:xf numFmtId="0" fontId="7" fillId="4" borderId="5" applyNumberFormat="0" applyFont="1" applyFill="1" applyBorder="1" applyAlignment="1" applyProtection="0">
      <x:alignment vertical="center" wrapText="1"/>
    </x:xf>
    <x:xf numFmtId="0" fontId="7" fillId="4" borderId="6" applyNumberFormat="0" applyFont="1" applyFill="1" applyBorder="1" applyAlignment="1" applyProtection="0">
      <x:alignment vertical="center" wrapText="1"/>
    </x:xf>
    <x:xf numFmtId="0" fontId="0" borderId="4" applyNumberFormat="0" applyFont="1" applyFill="0" applyBorder="1" applyAlignment="1" applyProtection="0">
      <x:alignment vertical="bottom"/>
    </x:xf>
    <x:xf numFmtId="0" fontId="0" borderId="5" applyNumberFormat="0" applyFont="1" applyFill="0" applyBorder="1" applyAlignment="1" applyProtection="0">
      <x:alignment vertical="bottom"/>
    </x:xf>
    <x:xf numFmtId="49" fontId="8" fillId="5" borderId="5" applyNumberFormat="1" applyFont="1" applyFill="1" applyBorder="1" applyAlignment="1" applyProtection="0">
      <x:alignment horizontal="center" vertical="center"/>
    </x:xf>
    <x:xf numFmtId="0" fontId="8" fillId="5" borderId="5" applyNumberFormat="0" applyFont="1" applyFill="1" applyBorder="1" applyAlignment="1" applyProtection="0">
      <x:alignment horizontal="center" vertical="center"/>
    </x:xf>
    <x:xf numFmtId="0" fontId="8" fillId="5" borderId="6" applyNumberFormat="0" applyFont="1" applyFill="1" applyBorder="1" applyAlignment="1" applyProtection="0">
      <x:alignment horizontal="center" vertical="center"/>
    </x:xf>
    <x:xf numFmtId="49" fontId="8" fillId="5" borderId="4" applyNumberFormat="1" applyFont="1" applyFill="1" applyBorder="1" applyAlignment="1" applyProtection="0">
      <x:alignment horizontal="center" vertical="center"/>
    </x:xf>
    <x:xf numFmtId="49" fontId="9" fillId="6" borderId="5" applyNumberFormat="1" applyFont="1" applyFill="1" applyBorder="1" applyAlignment="1" applyProtection="0">
      <x:alignment horizontal="center" vertical="center"/>
    </x:xf>
    <x:xf numFmtId="49" fontId="9" fillId="6" borderId="6" applyNumberFormat="1" applyFont="1" applyFill="1" applyBorder="1" applyAlignment="1" applyProtection="0">
      <x:alignment horizontal="center" vertical="center"/>
    </x:xf>
    <x:xf numFmtId="49" fontId="10" fillId="4" borderId="4" applyNumberFormat="1" applyFont="1" applyFill="1" applyBorder="1" applyAlignment="1" applyProtection="0">
      <x:alignment vertical="center"/>
    </x:xf>
    <x:xf numFmtId="49" fontId="11" fillId="4" borderId="5" applyNumberFormat="1" applyFont="1" applyFill="1" applyBorder="1" applyAlignment="1" applyProtection="0">
      <x:alignment vertical="center"/>
    </x:xf>
    <x:xf numFmtId="1" fontId="10" fillId="7" borderId="5" applyNumberFormat="1" applyFont="1" applyFill="1" applyBorder="1" applyAlignment="1" applyProtection="0">
      <x:alignment horizontal="center" vertical="center"/>
    </x:xf>
    <x:xf numFmtId="1" fontId="10" fillId="7" borderId="6" applyNumberFormat="1" applyFont="1" applyFill="1" applyBorder="1" applyAlignment="1" applyProtection="0">
      <x:alignment horizontal="center" vertical="center"/>
    </x:xf>
    <x:xf numFmtId="0" fontId="0" borderId="7" applyNumberFormat="0" applyFont="1" applyFill="0" applyBorder="1" applyAlignment="1" applyProtection="0">
      <x:alignment vertical="bottom"/>
    </x:xf>
    <x:xf numFmtId="0" fontId="0" borderId="8" applyNumberFormat="0" applyFont="1" applyFill="0" applyBorder="1" applyAlignment="1" applyProtection="0">
      <x:alignment vertical="bottom"/>
    </x:xf>
    <x:xf numFmtId="0" fontId="0" borderId="9" applyNumberFormat="0" applyFont="1" applyFill="0" applyBorder="1" applyAlignment="1" applyProtection="0">
      <x:alignment vertical="bottom"/>
    </x:xf>
    <x:xf numFmtId="49" fontId="10" fillId="8" borderId="10" applyNumberFormat="1" applyFont="1" applyFill="1" applyBorder="1" applyAlignment="1" applyProtection="0">
      <x:alignment horizontal="center" vertical="center" wrapText="1"/>
    </x:xf>
    <x:xf numFmtId="49" fontId="10" fillId="8" borderId="11" applyNumberFormat="1" applyFont="1" applyFill="1" applyBorder="1" applyAlignment="1" applyProtection="0">
      <x:alignment horizontal="center" vertical="center" wrapText="1"/>
    </x:xf>
    <x:xf numFmtId="49" fontId="10" fillId="8" borderId="12" applyNumberFormat="1" applyFont="1" applyFill="1" applyBorder="1" applyAlignment="1" applyProtection="0">
      <x:alignment horizontal="center" vertical="center" wrapText="1"/>
    </x:xf>
    <x:xf numFmtId="0" fontId="10" fillId="8" borderId="11" applyNumberFormat="0" applyFont="1" applyFill="1" applyBorder="1" applyAlignment="1" applyProtection="0">
      <x:alignment horizontal="center" vertical="center" wrapText="1"/>
    </x:xf>
    <x:xf numFmtId="0" fontId="10" fillId="8" borderId="12" applyNumberFormat="0" applyFont="1" applyFill="1" applyBorder="1" applyAlignment="1" applyProtection="0">
      <x:alignment horizontal="center" vertical="center" wrapText="1"/>
    </x:xf>
    <x:xf numFmtId="0" fontId="10" fillId="8" borderId="13" applyNumberFormat="0" applyFont="1" applyFill="1" applyBorder="1" applyAlignment="1" applyProtection="0">
      <x:alignment horizontal="center" vertical="center" wrapText="1"/>
    </x:xf>
    <x:xf numFmtId="0" fontId="10" fillId="8" borderId="14" applyNumberFormat="0" applyFont="1" applyFill="1" applyBorder="1" applyAlignment="1" applyProtection="0">
      <x:alignment horizontal="center" vertical="center" wrapText="1"/>
    </x:xf>
    <x:xf numFmtId="0" fontId="10" fillId="8" borderId="15" applyNumberFormat="0" applyFont="1" applyFill="1" applyBorder="1" applyAlignment="1" applyProtection="0">
      <x:alignment horizontal="center" vertical="center" wrapText="1"/>
    </x:xf>
    <x:xf numFmtId="49" fontId="10" fillId="9" borderId="16" applyNumberFormat="1" applyFont="1" applyFill="1" applyBorder="1" applyAlignment="1" applyProtection="0">
      <x:alignment horizontal="center" vertical="center"/>
    </x:xf>
    <x:xf numFmtId="49" fontId="9" fillId="6" borderId="17" applyNumberFormat="1" applyFont="1" applyFill="1" applyBorder="1" applyAlignment="1" applyProtection="0">
      <x:alignment vertical="center" wrapText="1"/>
    </x:xf>
    <x:xf numFmtId="0" fontId="9" fillId="6" borderId="18" applyNumberFormat="0" applyFont="1" applyFill="1" applyBorder="1" applyAlignment="1" applyProtection="0">
      <x:alignment vertical="center" wrapText="1"/>
    </x:xf>
    <x:xf numFmtId="0" fontId="9" fillId="6" borderId="18" applyNumberFormat="0" applyFont="1" applyFill="1" applyBorder="1" applyAlignment="1" applyProtection="0">
      <x:alignment horizontal="center" vertical="center" wrapText="1"/>
    </x:xf>
    <x:xf numFmtId="0" fontId="9" fillId="6" borderId="19" applyNumberFormat="0" applyFont="1" applyFill="1" applyBorder="1" applyAlignment="1" applyProtection="0">
      <x:alignment vertical="center" wrapText="1"/>
    </x:xf>
    <x:xf numFmtId="49" fontId="11" fillId="4" borderId="20" applyNumberFormat="1" applyFont="1" applyFill="1" applyBorder="1" applyAlignment="1" applyProtection="0">
      <x:alignment vertical="center" wrapText="1"/>
    </x:xf>
    <x:xf numFmtId="49" fontId="11" fillId="4" borderId="21" applyNumberFormat="1" applyFont="1" applyFill="1" applyBorder="1" applyAlignment="1" applyProtection="0">
      <x:alignment vertical="center" wrapText="1"/>
    </x:xf>
    <x:xf numFmtId="49" fontId="10" fillId="4" borderId="21" applyNumberFormat="1" applyFont="1" applyFill="1" applyBorder="1" applyAlignment="1" applyProtection="0">
      <x:alignment horizontal="center" vertical="center" wrapText="1"/>
    </x:xf>
    <x:xf numFmtId="49" fontId="11" fillId="4" borderId="22" applyNumberFormat="1" applyFont="1" applyFill="1" applyBorder="1" applyAlignment="1" applyProtection="0">
      <x:alignment vertical="top" wrapText="1"/>
    </x:xf>
    <x:xf numFmtId="0" fontId="11" fillId="4" borderId="21" applyNumberFormat="0" applyFont="1" applyFill="1" applyBorder="1" applyAlignment="1" applyProtection="0">
      <x:alignment vertical="center" wrapText="1"/>
    </x:xf>
    <x:xf numFmtId="0" fontId="11" fillId="4" borderId="23" applyNumberFormat="0" applyFont="1" applyFill="1" applyBorder="1" applyAlignment="1" applyProtection="0">
      <x:alignment vertical="center" wrapText="1"/>
    </x:xf>
    <x:xf numFmtId="49" fontId="11" fillId="4" borderId="4" applyNumberFormat="1" applyFont="1" applyFill="1" applyBorder="1" applyAlignment="1" applyProtection="0">
      <x:alignment vertical="center" wrapText="1"/>
    </x:xf>
    <x:xf numFmtId="49" fontId="11" fillId="4" borderId="5" applyNumberFormat="1" applyFont="1" applyFill="1" applyBorder="1" applyAlignment="1" applyProtection="0">
      <x:alignment vertical="center" wrapText="1"/>
    </x:xf>
    <x:xf numFmtId="49" fontId="10" fillId="4" borderId="5" applyNumberFormat="1" applyFont="1" applyFill="1" applyBorder="1" applyAlignment="1" applyProtection="0">
      <x:alignment horizontal="center" vertical="center" wrapText="1"/>
    </x:xf>
    <x:xf numFmtId="0" fontId="11" fillId="4" borderId="24" applyNumberFormat="0" applyFont="1" applyFill="1" applyBorder="1" applyAlignment="1" applyProtection="0">
      <x:alignment vertical="top" wrapText="1"/>
    </x:xf>
    <x:xf numFmtId="0" fontId="11" fillId="4" borderId="5" applyNumberFormat="0" applyFont="1" applyFill="1" applyBorder="1" applyAlignment="1" applyProtection="0">
      <x:alignment vertical="center" wrapText="1"/>
    </x:xf>
    <x:xf numFmtId="0" fontId="11" fillId="4" borderId="6" applyNumberFormat="0" applyFont="1" applyFill="1" applyBorder="1" applyAlignment="1" applyProtection="0">
      <x:alignment vertical="center" wrapText="1"/>
    </x:xf>
    <x:xf numFmtId="49" fontId="11" fillId="4" borderId="24" applyNumberFormat="1" applyFont="1" applyFill="1" applyBorder="1" applyAlignment="1" applyProtection="0">
      <x:alignment vertical="top" wrapText="1"/>
    </x:xf>
    <x:xf numFmtId="49" fontId="11" fillId="4" borderId="25" applyNumberFormat="1" applyFont="1" applyFill="1" applyBorder="1" applyAlignment="1" applyProtection="0">
      <x:alignment vertical="center" wrapText="1"/>
    </x:xf>
    <x:xf numFmtId="49" fontId="11" fillId="4" borderId="26" applyNumberFormat="1" applyFont="1" applyFill="1" applyBorder="1" applyAlignment="1" applyProtection="0">
      <x:alignment vertical="center" wrapText="1"/>
    </x:xf>
    <x:xf numFmtId="49" fontId="10" fillId="4" borderId="26" applyNumberFormat="1" applyFont="1" applyFill="1" applyBorder="1" applyAlignment="1" applyProtection="0">
      <x:alignment horizontal="center" vertical="center" wrapText="1"/>
    </x:xf>
    <x:xf numFmtId="0" fontId="11" fillId="4" borderId="26" applyNumberFormat="0" applyFont="1" applyFill="1" applyBorder="1" applyAlignment="1" applyProtection="0">
      <x:alignment vertical="center" wrapText="1"/>
    </x:xf>
    <x:xf numFmtId="0" fontId="11" fillId="4" borderId="27" applyNumberFormat="0" applyFont="1" applyFill="1" applyBorder="1" applyAlignment="1" applyProtection="0">
      <x:alignment vertical="center" wrapText="1"/>
    </x:xf>
    <x:xf numFmtId="0" fontId="9" fillId="6" borderId="28" applyNumberFormat="0" applyFont="1" applyFill="1" applyBorder="1" applyAlignment="1" applyProtection="0">
      <x:alignment vertical="center" wrapText="1"/>
    </x:xf>
    <x:xf numFmtId="0" fontId="11" fillId="4" borderId="29" applyNumberFormat="0" applyFont="1" applyFill="1" applyBorder="1" applyAlignment="1" applyProtection="0">
      <x:alignment vertical="center" wrapText="1"/>
    </x:xf>
    <x:xf numFmtId="49" fontId="11" fillId="4" borderId="28" applyNumberFormat="1" applyFont="1" applyFill="1" applyBorder="1" applyAlignment="1" applyProtection="0">
      <x:alignment vertical="center" wrapText="1"/>
    </x:xf>
    <x:xf numFmtId="49" fontId="11" fillId="4" borderId="29" applyNumberFormat="1" applyFont="1" applyFill="1" applyBorder="1" applyAlignment="1" applyProtection="0">
      <x:alignment vertical="center" wrapText="1"/>
    </x:xf>
    <x:xf numFmtId="49" fontId="9" fillId="6" borderId="18" applyNumberFormat="1" applyFont="1" applyFill="1" applyBorder="1" applyAlignment="1" applyProtection="0">
      <x:alignment vertical="center" wrapText="1"/>
    </x:xf>
    <x:xf numFmtId="49" fontId="9" fillId="6" borderId="21" applyNumberFormat="1" applyFont="1" applyFill="1" applyBorder="1" applyAlignment="1" applyProtection="0">
      <x:alignment vertical="center" wrapText="1"/>
    </x:xf>
    <x:xf numFmtId="49" fontId="9" fillId="6" borderId="5" applyNumberFormat="1" applyFont="1" applyFill="1" applyBorder="1" applyAlignment="1" applyProtection="0">
      <x:alignment vertical="center" wrapText="1"/>
    </x:xf>
    <x:xf numFmtId="49" fontId="9" fillId="6" borderId="26" applyNumberFormat="1" applyFont="1" applyFill="1" applyBorder="1" applyAlignment="1" applyProtection="0">
      <x:alignment vertical="center" wrapText="1"/>
    </x:xf>
    <x:xf numFmtId="49" fontId="11" fillId="4" borderId="30" applyNumberFormat="1" applyFont="1" applyFill="1" applyBorder="1" applyAlignment="1" applyProtection="0">
      <x:alignment vertical="center" wrapText="1"/>
    </x:xf>
    <x:xf numFmtId="49" fontId="11" fillId="4" borderId="31" applyNumberFormat="1" applyFont="1" applyFill="1" applyBorder="1" applyAlignment="1" applyProtection="0">
      <x:alignment vertical="center" wrapText="1"/>
    </x:xf>
    <x:xf numFmtId="49" fontId="10" fillId="4" borderId="31" applyNumberFormat="1" applyFont="1" applyFill="1" applyBorder="1" applyAlignment="1" applyProtection="0">
      <x:alignment horizontal="center" vertical="center" wrapText="1"/>
    </x:xf>
    <x:xf numFmtId="0" fontId="11" fillId="4" borderId="31" applyNumberFormat="0" applyFont="1" applyFill="1" applyBorder="1" applyAlignment="1" applyProtection="0">
      <x:alignment vertical="center" wrapText="1"/>
    </x:xf>
    <x:xf numFmtId="0" fontId="11" fillId="4" borderId="32" applyNumberFormat="0" applyFont="1" applyFill="1" applyBorder="1" applyAlignment="1" applyProtection="0">
      <x:alignment vertical="center" wrapText="1"/>
    </x:xf>
    <x:xf numFmtId="0" fontId="0" applyNumberFormat="1" applyFont="1" applyFill="0" applyBorder="0" applyAlignment="1" applyProtection="0">
      <x:alignment vertical="bottom"/>
    </x:xf>
    <x:xf numFmtId="49" fontId="12" borderId="4" applyNumberFormat="1" applyFont="1" applyFill="0" applyBorder="1" applyAlignment="1" applyProtection="0">
      <x:alignment vertical="bottom"/>
    </x:xf>
    <x:xf numFmtId="0" fontId="12" borderId="5" applyNumberFormat="0" applyFont="1" applyFill="0" applyBorder="1" applyAlignment="1" applyProtection="0">
      <x:alignment vertical="bottom"/>
    </x:xf>
    <x:xf numFmtId="0" fontId="12" borderId="6" applyNumberFormat="0" applyFont="1" applyFill="0" applyBorder="1" applyAlignment="1" applyProtection="0">
      <x:alignment vertical="bottom"/>
    </x:xf>
    <x:xf numFmtId="0" fontId="0" borderId="6" applyNumberFormat="0" applyFont="1" applyFill="0" applyBorder="1" applyAlignment="1" applyProtection="0">
      <x:alignment vertical="bottom"/>
    </x:xf>
    <x:xf numFmtId="49" fontId="10" fillId="8" borderId="30" applyNumberFormat="1" applyFont="1" applyFill="1" applyBorder="1" applyAlignment="1" applyProtection="0">
      <x:alignment horizontal="center" vertical="center" wrapText="1"/>
    </x:xf>
    <x:xf numFmtId="49" fontId="10" fillId="8" borderId="31" applyNumberFormat="1" applyFont="1" applyFill="1" applyBorder="1" applyAlignment="1" applyProtection="0">
      <x:alignment horizontal="center" vertical="center" wrapText="1"/>
    </x:xf>
    <x:xf numFmtId="49" fontId="10" fillId="8" borderId="32" applyNumberFormat="1" applyFont="1" applyFill="1" applyBorder="1" applyAlignment="1" applyProtection="0">
      <x:alignment horizontal="center" vertical="center" wrapText="1"/>
    </x:xf>
    <x:xf numFmtId="49" fontId="11" fillId="4" borderId="33" applyNumberFormat="1" applyFont="1" applyFill="1" applyBorder="1" applyAlignment="1" applyProtection="0">
      <x:alignment vertical="top" wrapText="1"/>
    </x:xf>
    <x:xf numFmtId="59" fontId="11" fillId="4" borderId="33" applyNumberFormat="1" applyFont="1" applyFill="1" applyBorder="1" applyAlignment="1" applyProtection="0">
      <x:alignment vertical="top" wrapText="1"/>
    </x:xf>
    <x:xf numFmtId="0" fontId="11" fillId="4" borderId="33" applyNumberFormat="0" applyFont="1" applyFill="1" applyBorder="1" applyAlignment="1" applyProtection="0">
      <x:alignment vertical="top" wrapText="1"/>
    </x:xf>
    <x:xf numFmtId="0" fontId="0" borderId="34" applyNumberFormat="0" applyFont="1" applyFill="0" applyBorder="1" applyAlignment="1" applyProtection="0">
      <x:alignment vertical="bottom"/>
    </x:xf>
    <x:xf numFmtId="0" fontId="0" borderId="29" applyNumberFormat="0" applyFont="1" applyFill="0" applyBorder="1" applyAlignment="1" applyProtection="0">
      <x:alignment vertical="bottom"/>
    </x:xf>
    <x:xf numFmtId="0" fontId="0" borderId="35" applyNumberFormat="0" applyFont="1" applyFill="0" applyBorder="1" applyAlignment="1" applyProtection="0">
      <x:alignment vertical="bottom"/>
    </x:xf>
    <x:xf numFmtId="49" fontId="13" fillId="6" borderId="4" applyNumberFormat="1" applyFont="1" applyFill="1" applyBorder="1" applyAlignment="1" applyProtection="0">
      <x:alignment vertical="bottom"/>
    </x:xf>
    <x:xf numFmtId="0" fontId="13" fillId="6" borderId="5" applyNumberFormat="0" applyFont="1" applyFill="1" applyBorder="1" applyAlignment="1" applyProtection="0">
      <x:alignment vertical="bottom"/>
    </x:xf>
    <x:xf numFmtId="0" fontId="13" fillId="6" borderId="6" applyNumberFormat="0" applyFont="1" applyFill="1" applyBorder="1" applyAlignment="1" applyProtection="0">
      <x:alignment vertical="bottom"/>
    </x:xf>
    <x:xf numFmtId="49" fontId="8" fillId="5" borderId="30" applyNumberFormat="1" applyFont="1" applyFill="1" applyBorder="1" applyAlignment="1" applyProtection="0">
      <x:alignment horizontal="center" vertical="center"/>
    </x:xf>
    <x:xf numFmtId="49" fontId="8" fillId="5" borderId="31" applyNumberFormat="1" applyFont="1" applyFill="1" applyBorder="1" applyAlignment="1" applyProtection="0">
      <x:alignment horizontal="center" vertical="center"/>
    </x:xf>
    <x:xf numFmtId="0" fontId="8" fillId="5" borderId="31" applyNumberFormat="0" applyFont="1" applyFill="1" applyBorder="1" applyAlignment="1" applyProtection="0">
      <x:alignment horizontal="center" vertical="center"/>
    </x:xf>
    <x:xf numFmtId="0" fontId="8" fillId="5" borderId="32" applyNumberFormat="0" applyFont="1" applyFill="1" applyBorder="1" applyAlignment="1" applyProtection="0">
      <x:alignment horizontal="center" vertical="center"/>
    </x:xf>
  </x:cellXfs>
  <x:cellStyles count="1">
    <x:cellStyle name="Normal" xfId="0"/>
  </x:cellStyles>
  <x:dxfs count="18">
    <x:dxf>
      <x:font>
        <x:b/>
        <x:color rgb="ffb42318"/>
      </x:font>
      <x:fill>
        <x:patternFill>
          <x:bgColor indexed="20"/>
        </x:patternFill>
      </x:fill>
    </x:dxf>
    <x:dxf>
      <x:font>
        <x:b/>
        <x:color rgb="ff8a5a00"/>
      </x:font>
      <x:fill>
        <x:patternFill>
          <x:bgColor indexed="20"/>
        </x:patternFill>
      </x:fill>
    </x:dxf>
    <x:dxf>
      <x:font>
        <x:color rgb="ff666666"/>
      </x:font>
      <x:fill>
        <x:patternFill>
          <x:bgColor indexed="20"/>
        </x:patternFill>
      </x:fill>
    </x:dxf>
    <x:dxf>
      <x:font>
        <x:b/>
        <x:color rgb="ff2e7d5b"/>
      </x:font>
      <x:fill>
        <x:patternFill>
          <x:bgColor indexed="20"/>
        </x:patternFill>
      </x:fill>
    </x:dxf>
    <x:dxf>
      <x:font>
        <x:b/>
        <x:color rgb="fffe4a49"/>
      </x:font>
      <x:fill>
        <x:patternFill>
          <x:bgColor indexed="20"/>
        </x:patternFill>
      </x:fill>
    </x:dxf>
    <x:dxf>
      <x:font>
        <x:b/>
        <x:color rgb="ffff8000"/>
      </x:font>
      <x:fill>
        <x:patternFill>
          <x:bgColor indexed="20"/>
        </x:patternFill>
      </x:fill>
    </x:dxf>
    <x:dxf>
      <x:font>
        <x:i/>
        <x:color rgb="ff646464"/>
      </x:font>
      <x:fill>
        <x:patternFill>
          <x:bgColor indexed="20"/>
        </x:patternFill>
      </x:fill>
    </x:dxf>
    <x:dxf>
      <x:font>
        <x:b/>
        <x:color rgb="ff216e39"/>
      </x:font>
      <x:fill>
        <x:patternFill>
          <x:bgColor indexed="20"/>
        </x:patternFill>
      </x:fill>
    </x:dxf>
    <x:dxf>
      <x:font>
        <x:b/>
        <x:color rgb="ffb42318"/>
      </x:font>
      <x:fill>
        <x:patternFill>
          <x:bgColor indexed="20"/>
        </x:patternFill>
      </x:fill>
    </x:dxf>
    <x:dxf>
      <x:font>
        <x:b/>
        <x:color rgb="ff8a5a00"/>
      </x:font>
      <x:fill>
        <x:patternFill>
          <x:bgColor indexed="20"/>
        </x:patternFill>
      </x:fill>
    </x:dxf>
    <x:dxf>
      <x:font>
        <x:color rgb="ff666666"/>
      </x:font>
      <x:fill>
        <x:patternFill>
          <x:bgColor indexed="20"/>
        </x:patternFill>
      </x:fill>
    </x:dxf>
    <x:dxf>
      <x:font>
        <x:b/>
        <x:color rgb="ff216e39"/>
      </x:font>
      <x:fill>
        <x:patternFill>
          <x:bgColor indexed="20"/>
        </x:patternFill>
      </x:fill>
    </x:dxf>
    <x:dxf>
      <x:font>
        <x:b/>
        <x:color rgb="ffb42318"/>
      </x:font>
      <x:fill>
        <x:patternFill>
          <x:bgColor indexed="20"/>
        </x:patternFill>
      </x:fill>
    </x:dxf>
    <x:dxf>
      <x:font>
        <x:b/>
        <x:color rgb="ff8a5a00"/>
      </x:font>
      <x:fill>
        <x:patternFill>
          <x:bgColor indexed="20"/>
        </x:patternFill>
      </x:fill>
    </x:dxf>
    <x:dxf>
      <x:font>
        <x:color rgb="ff666666"/>
      </x:font>
      <x:fill>
        <x:patternFill>
          <x:bgColor indexed="20"/>
        </x:patternFill>
      </x:fill>
    </x:dxf>
    <x:dxf>
      <x:font>
        <x:b/>
        <x:color rgb="ff2e7d5b"/>
      </x:font>
      <x:fill>
        <x:patternFill>
          <x:bgColor indexed="20"/>
        </x:patternFill>
      </x:fill>
    </x:dxf>
    <x:dxf>
      <x:font>
        <x:b/>
        <x:color rgb="fffe4a49"/>
      </x:font>
      <x:fill>
        <x:patternFill>
          <x:bgColor indexed="20"/>
        </x:patternFill>
      </x:fill>
    </x:dxf>
    <x:dxf>
      <x:font>
        <x:b/>
        <x:color rgb="ffff8000"/>
      </x:font>
      <x:fill>
        <x:patternFill>
          <x:bgColor indexed="20"/>
        </x:patternFill>
      </x:fill>
    </x:dxf>
  </x:dxfs>
  <x:colors>
    <x:indexedColors>
      <x:rgbColor rgb="FF000000"/>
      <x:rgbColor rgb="FFFFFFFF"/>
      <x:rgbColor rgb="FFFF0000"/>
      <x:rgbColor rgb="FF00FF00"/>
      <x:rgbColor rgb="FF0000FF"/>
      <x:rgbColor rgb="FFFFFF00"/>
      <x:rgbColor rgb="FFFF00FF"/>
      <x:rgbColor rgb="FF00FFFF"/>
      <x:rgbColor rgb="FF000000"/>
      <x:rgbColor rgb="FF5E88B1"/>
      <x:rgbColor rgb="FFEEF3F4"/>
      <x:rgbColor rgb="FF0000FF"/>
      <x:rgbColor rgb="FFAAAAAA"/>
      <x:rgbColor rgb="FF323232"/>
      <x:rgbColor rgb="FFFFFFFF"/>
      <x:rgbColor rgb="FF52489C"/>
      <x:rgbColor rgb="FFEFEDF9"/>
      <x:rgbColor rgb="FFF5F5F5"/>
      <x:rgbColor rgb="FFFFB300"/>
      <x:rgbColor rgb="FFFFE08A"/>
      <x:rgbColor rgb="00000000"/>
      <x:rgbColor rgb="FFFDE8E7"/>
      <x:rgbColor rgb="FFB42318"/>
      <x:rgbColor rgb="FFFFF4D6"/>
      <x:rgbColor rgb="FF8A5A00"/>
      <x:rgbColor rgb="FFF2F2F2"/>
      <x:rgbColor rgb="FF666666"/>
      <x:rgbColor rgb="FFDCDCDC"/>
      <x:rgbColor rgb="FFE4F3EC"/>
      <x:rgbColor rgb="FF2E7D5B"/>
      <x:rgbColor rgb="FFFDE8E8"/>
      <x:rgbColor rgb="FFFE4A49"/>
      <x:rgbColor rgb="FFFFF0DB"/>
      <x:rgbColor rgb="FFFF8000"/>
      <x:rgbColor rgb="FF646464"/>
      <x:rgbColor rgb="FFE7F4E8"/>
      <x:rgbColor rgb="FF216E39"/>
    </x:indexedColors>
  </x:colors>
</x:styleSheet>
</file>

<file path=xl/_rels/workbook.xml.rels>&#65279;<?xml version="1.0" encoding="utf-8"?><Relationships xmlns="http://schemas.openxmlformats.org/package/2006/relationships"><Relationship Type="http://schemas.openxmlformats.org/officeDocument/2006/relationships/styles" Target="/xl/styles.xml" Id="R9cab47a22767407a" /><Relationship Type="http://schemas.openxmlformats.org/officeDocument/2006/relationships/theme" Target="/xl/theme/theme1.xml" Id="R975d1a44c7de4ecd" /><Relationship Type="http://schemas.openxmlformats.org/officeDocument/2006/relationships/sharedStrings" Target="/xl/sharedStrings.xml" Id="R482ff9cb06fd4eaa" /><Relationship Type="http://schemas.openxmlformats.org/officeDocument/2006/relationships/worksheet" Target="/xl/worksheets/sheet1.xml" Id="Rcc2a9b926a284793" /><Relationship Type="http://schemas.openxmlformats.org/officeDocument/2006/relationships/worksheet" Target="/xl/worksheets/sheet2.xml" Id="R0beb23a2efef4d1a" /><Relationship Type="http://schemas.openxmlformats.org/officeDocument/2006/relationships/worksheet" Target="/xl/worksheets/sheet3.xml" Id="R382e8929b9824739" /></Relationships>
</file>

<file path=xl/theme/theme1.xml><?xml version="1.0" encoding="utf-8"?>
<a:theme xmlns:a="http://schemas.openxmlformats.org/drawingml/2006/main" name="ChatGPT">
  <a:themeElements>
    <a:clrScheme name="ChatGPT">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ChatGPT">
      <a:majorFont>
        <a:latin typeface="Helvetica Neue"/>
        <a:ea typeface="Helvetica Neue"/>
        <a:cs typeface="Helvetica Neue"/>
      </a:majorFont>
      <a:minorFont>
        <a:latin typeface="Helvetica Neue"/>
        <a:ea typeface="Helvetica Neue"/>
        <a:cs typeface="Helvetica Neue"/>
      </a:minorFont>
    </a:fontScheme>
    <a:fmtScheme name="ChatGPT">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a:solidFill>
            <a:schemeClr val="phClr">
              <a:shade val="95000"/>
              <a:satMod val="104999"/>
            </a:schemeClr>
          </a:solidFill>
          <a:prstDash val="solid"/>
        </a:ln>
        <a:ln w="25400">
          <a:solidFill>
            <a:schemeClr val="phClr"/>
          </a:solidFill>
          <a:prstDash val="solid"/>
        </a:ln>
        <a:ln w="38100">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round/>
        </a:ln>
      </a:spPr>
      <a:bodyPr rot="0" spcFirstLastPara="1" vert="horz" wrap="square" lIns="0" tIns="0" rIns="0" bIns="0" numCol="1" spcCol="38100" rtlCol="0" anchor="t">
        <a:spAutoFit/>
      </a:bodyPr>
      <a:lstStyle>
        <a:defPPr marL="0" marR="0" indent="0" algn="l" defTabSz="914400">
          <a:lnSpc>
            <a:spcPct val="100000"/>
          </a:lnSpc>
          <a:spcBef>
            <a:spcPts val="0"/>
          </a:spcBef>
          <a:spcAft>
            <a:spcPts val="0"/>
          </a:spcAft>
          <a:buClrTx/>
          <a:buSzTx/>
          <a:buFontTx/>
          <a:buNone/>
          <a:defRPr sz="1100" b="0" i="0" u="none" strike="noStrike" cap="none" spc="0" baseline="0">
            <a:ln>
              <a:noFill/>
            </a:ln>
            <a:solidFill>
              <a:srgbClr val="000000"/>
            </a:solidFill>
            <a:latin typeface="Calibri"/>
            <a:ea typeface="Calibri"/>
            <a:cs typeface="Calibri"/>
          </a:defRPr>
        </a:defPPr>
        <a:lvl1pPr marL="0" marR="0" indent="0" algn="l" defTabSz="914400">
          <a:lnSpc>
            <a:spcPct val="100000"/>
          </a:lnSpc>
          <a:spcBef>
            <a:spcPts val="0"/>
          </a:spcBef>
          <a:spcAft>
            <a:spcPts val="0"/>
          </a:spcAft>
          <a:buClrTx/>
          <a:buSzTx/>
          <a:buFontTx/>
          <a:buNone/>
          <a:defRPr sz="1800" b="0" i="0" u="none" strike="noStrike" cap="none" spc="0" baseline="0">
            <a:ln>
              <a:noFill/>
            </a:ln>
            <a:solidFill>
              <a:srgbClr val="000000"/>
            </a:solidFill>
          </a:defRPr>
        </a:lvl1pPr>
        <a:lvl2pPr marL="0" marR="0" indent="0" algn="l" defTabSz="914400">
          <a:lnSpc>
            <a:spcPct val="100000"/>
          </a:lnSpc>
          <a:spcBef>
            <a:spcPts val="0"/>
          </a:spcBef>
          <a:spcAft>
            <a:spcPts val="0"/>
          </a:spcAft>
          <a:buClrTx/>
          <a:buSzTx/>
          <a:buFontTx/>
          <a:buNone/>
          <a:defRPr sz="1800" b="0" i="0" u="none" strike="noStrike" cap="none" spc="0" baseline="0">
            <a:ln>
              <a:noFill/>
            </a:ln>
            <a:solidFill>
              <a:srgbClr val="000000"/>
            </a:solidFill>
          </a:defRPr>
        </a:lvl2pPr>
        <a:lvl3pPr marL="0" marR="0" indent="0" algn="l" defTabSz="914400">
          <a:lnSpc>
            <a:spcPct val="100000"/>
          </a:lnSpc>
          <a:spcBef>
            <a:spcPts val="0"/>
          </a:spcBef>
          <a:spcAft>
            <a:spcPts val="0"/>
          </a:spcAft>
          <a:buClrTx/>
          <a:buSzTx/>
          <a:buFontTx/>
          <a:buNone/>
          <a:defRPr sz="1800" b="0" i="0" u="none" strike="noStrike" cap="none" spc="0" baseline="0">
            <a:ln>
              <a:noFill/>
            </a:ln>
            <a:solidFill>
              <a:srgbClr val="000000"/>
            </a:solidFill>
          </a:defRPr>
        </a:lvl3pPr>
        <a:lvl4pPr marL="0" marR="0" indent="0" algn="l" defTabSz="914400">
          <a:lnSpc>
            <a:spcPct val="100000"/>
          </a:lnSpc>
          <a:spcBef>
            <a:spcPts val="0"/>
          </a:spcBef>
          <a:spcAft>
            <a:spcPts val="0"/>
          </a:spcAft>
          <a:buClrTx/>
          <a:buSzTx/>
          <a:buFontTx/>
          <a:buNone/>
          <a:defRPr sz="1800" b="0" i="0" u="none" strike="noStrike" cap="none" spc="0" baseline="0">
            <a:ln>
              <a:noFill/>
            </a:ln>
            <a:solidFill>
              <a:srgbClr val="000000"/>
            </a:solidFill>
          </a:defRPr>
        </a:lvl4pPr>
        <a:lvl5pPr marL="0" marR="0" indent="0" algn="l" defTabSz="914400">
          <a:lnSpc>
            <a:spcPct val="100000"/>
          </a:lnSpc>
          <a:spcBef>
            <a:spcPts val="0"/>
          </a:spcBef>
          <a:spcAft>
            <a:spcPts val="0"/>
          </a:spcAft>
          <a:buClrTx/>
          <a:buSzTx/>
          <a:buFontTx/>
          <a:buNone/>
          <a:defRPr sz="1800" b="0" i="0" u="none" strike="noStrike" cap="none" spc="0" baseline="0">
            <a:ln>
              <a:noFill/>
            </a:ln>
            <a:solidFill>
              <a:srgbClr val="000000"/>
            </a:solidFill>
          </a:defRPr>
        </a:lvl5pPr>
        <a:lvl6pPr marL="0" marR="0" indent="0" algn="l" defTabSz="914400">
          <a:lnSpc>
            <a:spcPct val="100000"/>
          </a:lnSpc>
          <a:spcBef>
            <a:spcPts val="0"/>
          </a:spcBef>
          <a:spcAft>
            <a:spcPts val="0"/>
          </a:spcAft>
          <a:buClrTx/>
          <a:buSzTx/>
          <a:buFontTx/>
          <a:buNone/>
          <a:defRPr sz="1800" b="0" i="0" u="none" strike="noStrike" cap="none" spc="0" baseline="0">
            <a:ln>
              <a:noFill/>
            </a:ln>
            <a:solidFill>
              <a:srgbClr val="000000"/>
            </a:solidFill>
          </a:defRPr>
        </a:lvl6pPr>
        <a:lvl7pPr marL="0" marR="0" indent="0" algn="l" defTabSz="914400">
          <a:lnSpc>
            <a:spcPct val="100000"/>
          </a:lnSpc>
          <a:spcBef>
            <a:spcPts val="0"/>
          </a:spcBef>
          <a:spcAft>
            <a:spcPts val="0"/>
          </a:spcAft>
          <a:buClrTx/>
          <a:buSzTx/>
          <a:buFontTx/>
          <a:buNone/>
          <a:defRPr sz="1800" b="0" i="0" u="none" strike="noStrike" cap="none" spc="0" baseline="0">
            <a:ln>
              <a:noFill/>
            </a:ln>
            <a:solidFill>
              <a:srgbClr val="000000"/>
            </a:solidFill>
          </a:defRPr>
        </a:lvl7pPr>
        <a:lvl8pPr marL="0" marR="0" indent="0" algn="l" defTabSz="914400">
          <a:lnSpc>
            <a:spcPct val="100000"/>
          </a:lnSpc>
          <a:spcBef>
            <a:spcPts val="0"/>
          </a:spcBef>
          <a:spcAft>
            <a:spcPts val="0"/>
          </a:spcAft>
          <a:buClrTx/>
          <a:buSzTx/>
          <a:buFontTx/>
          <a:buNone/>
          <a:defRPr sz="1800" b="0" i="0" u="none" strike="noStrike" cap="none" spc="0" baseline="0">
            <a:ln>
              <a:noFill/>
            </a:ln>
            <a:solidFill>
              <a:srgbClr val="000000"/>
            </a:solidFill>
          </a:defRPr>
        </a:lvl8pPr>
        <a:lvl9pPr marL="0" marR="0" indent="0" algn="l" defTabSz="914400">
          <a:lnSpc>
            <a:spcPct val="100000"/>
          </a:lnSpc>
          <a:spcBef>
            <a:spcPts val="0"/>
          </a:spcBef>
          <a:spcAft>
            <a:spcPts val="0"/>
          </a:spcAft>
          <a:buClrTx/>
          <a:buSzTx/>
          <a:buFontTx/>
          <a:buNone/>
          <a:defRPr sz="1800" b="0" i="0" u="none" strike="noStrike" cap="none" spc="0" baseline="0">
            <a:ln>
              <a:noFill/>
            </a:ln>
            <a:solidFill>
              <a:srgbClr val="000000"/>
            </a:solidFill>
          </a:defRPr>
        </a:lvl9pPr>
      </a:lstStyle>
      <a:style>
        <a:lnRef idx="0"/>
        <a:fillRef idx="0"/>
        <a:effectRef idx="0"/>
        <a:fontRef/>
      </a:style>
    </a:spDef>
    <a:lnDef>
      <a:spPr>
        <a:noFill/>
        <a:ln w="19050" cap="flat">
          <a:solidFill>
            <a:schemeClr val="accent1"/>
          </a:solidFill>
          <a:prstDash val="solid"/>
          <a:round/>
        </a:ln>
      </a:spPr>
      <a:bodyPr rot="0" spcFirstLastPara="1" vert="horz" wrap="square" lIns="91439" tIns="45719" rIns="91439" bIns="45719" numCol="1" spcCol="38100" rtlCol="0" anchor="t">
        <a:noAutofit/>
      </a:bodyPr>
      <a:lstStyle>
        <a:defPPr marL="0" marR="0" indent="0" algn="l" defTabSz="914400">
          <a:lnSpc>
            <a:spcPct val="100000"/>
          </a:lnSpc>
          <a:spcBef>
            <a:spcPts val="0"/>
          </a:spcBef>
          <a:spcAft>
            <a:spcPts val="0"/>
          </a:spcAft>
          <a:buClrTx/>
          <a:buSzTx/>
          <a:buFontTx/>
          <a:buNone/>
          <a:defRPr sz="1800" b="0" i="0" u="none" strike="noStrike" cap="none" spc="0" baseline="0">
            <a:ln>
              <a:noFill/>
            </a:ln>
            <a:solidFill>
              <a:srgbClr val="000000"/>
            </a:solidFill>
          </a:defRPr>
        </a:defPPr>
        <a:lvl1pPr marL="0" marR="0" indent="0" algn="l" defTabSz="914400">
          <a:lnSpc>
            <a:spcPct val="100000"/>
          </a:lnSpc>
          <a:spcBef>
            <a:spcPts val="0"/>
          </a:spcBef>
          <a:spcAft>
            <a:spcPts val="0"/>
          </a:spcAft>
          <a:buClrTx/>
          <a:buSzTx/>
          <a:buFontTx/>
          <a:buNone/>
          <a:defRPr sz="1800" b="0" i="0" u="none" strike="noStrike" cap="none" spc="0" baseline="0">
            <a:ln>
              <a:noFill/>
            </a:ln>
            <a:solidFill>
              <a:srgbClr val="000000"/>
            </a:solidFill>
          </a:defRPr>
        </a:lvl1pPr>
        <a:lvl2pPr marL="0" marR="0" indent="0" algn="l" defTabSz="914400">
          <a:lnSpc>
            <a:spcPct val="100000"/>
          </a:lnSpc>
          <a:spcBef>
            <a:spcPts val="0"/>
          </a:spcBef>
          <a:spcAft>
            <a:spcPts val="0"/>
          </a:spcAft>
          <a:buClrTx/>
          <a:buSzTx/>
          <a:buFontTx/>
          <a:buNone/>
          <a:defRPr sz="1800" b="0" i="0" u="none" strike="noStrike" cap="none" spc="0" baseline="0">
            <a:ln>
              <a:noFill/>
            </a:ln>
            <a:solidFill>
              <a:srgbClr val="000000"/>
            </a:solidFill>
          </a:defRPr>
        </a:lvl2pPr>
        <a:lvl3pPr marL="0" marR="0" indent="0" algn="l" defTabSz="914400">
          <a:lnSpc>
            <a:spcPct val="100000"/>
          </a:lnSpc>
          <a:spcBef>
            <a:spcPts val="0"/>
          </a:spcBef>
          <a:spcAft>
            <a:spcPts val="0"/>
          </a:spcAft>
          <a:buClrTx/>
          <a:buSzTx/>
          <a:buFontTx/>
          <a:buNone/>
          <a:defRPr sz="1800" b="0" i="0" u="none" strike="noStrike" cap="none" spc="0" baseline="0">
            <a:ln>
              <a:noFill/>
            </a:ln>
            <a:solidFill>
              <a:srgbClr val="000000"/>
            </a:solidFill>
          </a:defRPr>
        </a:lvl3pPr>
        <a:lvl4pPr marL="0" marR="0" indent="0" algn="l" defTabSz="914400">
          <a:lnSpc>
            <a:spcPct val="100000"/>
          </a:lnSpc>
          <a:spcBef>
            <a:spcPts val="0"/>
          </a:spcBef>
          <a:spcAft>
            <a:spcPts val="0"/>
          </a:spcAft>
          <a:buClrTx/>
          <a:buSzTx/>
          <a:buFontTx/>
          <a:buNone/>
          <a:defRPr sz="1800" b="0" i="0" u="none" strike="noStrike" cap="none" spc="0" baseline="0">
            <a:ln>
              <a:noFill/>
            </a:ln>
            <a:solidFill>
              <a:srgbClr val="000000"/>
            </a:solidFill>
          </a:defRPr>
        </a:lvl4pPr>
        <a:lvl5pPr marL="0" marR="0" indent="0" algn="l" defTabSz="914400">
          <a:lnSpc>
            <a:spcPct val="100000"/>
          </a:lnSpc>
          <a:spcBef>
            <a:spcPts val="0"/>
          </a:spcBef>
          <a:spcAft>
            <a:spcPts val="0"/>
          </a:spcAft>
          <a:buClrTx/>
          <a:buSzTx/>
          <a:buFontTx/>
          <a:buNone/>
          <a:defRPr sz="1800" b="0" i="0" u="none" strike="noStrike" cap="none" spc="0" baseline="0">
            <a:ln>
              <a:noFill/>
            </a:ln>
            <a:solidFill>
              <a:srgbClr val="000000"/>
            </a:solidFill>
          </a:defRPr>
        </a:lvl5pPr>
        <a:lvl6pPr marL="0" marR="0" indent="0" algn="l" defTabSz="914400">
          <a:lnSpc>
            <a:spcPct val="100000"/>
          </a:lnSpc>
          <a:spcBef>
            <a:spcPts val="0"/>
          </a:spcBef>
          <a:spcAft>
            <a:spcPts val="0"/>
          </a:spcAft>
          <a:buClrTx/>
          <a:buSzTx/>
          <a:buFontTx/>
          <a:buNone/>
          <a:defRPr sz="1800" b="0" i="0" u="none" strike="noStrike" cap="none" spc="0" baseline="0">
            <a:ln>
              <a:noFill/>
            </a:ln>
            <a:solidFill>
              <a:srgbClr val="000000"/>
            </a:solidFill>
          </a:defRPr>
        </a:lvl6pPr>
        <a:lvl7pPr marL="0" marR="0" indent="0" algn="l" defTabSz="914400">
          <a:lnSpc>
            <a:spcPct val="100000"/>
          </a:lnSpc>
          <a:spcBef>
            <a:spcPts val="0"/>
          </a:spcBef>
          <a:spcAft>
            <a:spcPts val="0"/>
          </a:spcAft>
          <a:buClrTx/>
          <a:buSzTx/>
          <a:buFontTx/>
          <a:buNone/>
          <a:defRPr sz="1800" b="0" i="0" u="none" strike="noStrike" cap="none" spc="0" baseline="0">
            <a:ln>
              <a:noFill/>
            </a:ln>
            <a:solidFill>
              <a:srgbClr val="000000"/>
            </a:solidFill>
          </a:defRPr>
        </a:lvl7pPr>
        <a:lvl8pPr marL="0" marR="0" indent="0" algn="l" defTabSz="914400">
          <a:lnSpc>
            <a:spcPct val="100000"/>
          </a:lnSpc>
          <a:spcBef>
            <a:spcPts val="0"/>
          </a:spcBef>
          <a:spcAft>
            <a:spcPts val="0"/>
          </a:spcAft>
          <a:buClrTx/>
          <a:buSzTx/>
          <a:buFontTx/>
          <a:buNone/>
          <a:defRPr sz="1800" b="0" i="0" u="none" strike="noStrike" cap="none" spc="0" baseline="0">
            <a:ln>
              <a:noFill/>
            </a:ln>
            <a:solidFill>
              <a:srgbClr val="000000"/>
            </a:solidFill>
          </a:defRPr>
        </a:lvl8pPr>
        <a:lvl9pPr marL="0" marR="0" indent="0" algn="l" defTabSz="914400">
          <a:lnSpc>
            <a:spcPct val="100000"/>
          </a:lnSpc>
          <a:spcBef>
            <a:spcPts val="0"/>
          </a:spcBef>
          <a:spcAft>
            <a:spcPts val="0"/>
          </a:spcAft>
          <a:buClrTx/>
          <a:buSzTx/>
          <a:buFontTx/>
          <a:buNone/>
          <a:defRPr sz="1800" b="0" i="0" u="none" strike="noStrike" cap="none" spc="0" baseline="0">
            <a:ln>
              <a:noFill/>
            </a:ln>
            <a:solidFill>
              <a:srgbClr val="000000"/>
            </a:solidFill>
          </a:defRPr>
        </a:lvl9pPr>
      </a:lstStyle>
      <a:style>
        <a:lnRef idx="0"/>
        <a:fillRef idx="0"/>
        <a:effectRef idx="0"/>
        <a:fontRef/>
      </a:style>
    </a:lnDef>
    <a:txDef>
      <a:spPr>
        <a:noFill/>
        <a:ln w="12700" cap="flat">
          <a:noFill/>
          <a:miter/>
        </a:ln>
      </a:spPr>
      <a:bodyPr rot="0" spcFirstLastPara="1" vert="horz" wrap="square" lIns="0" tIns="0" rIns="0" bIns="0" numCol="1" spcCol="38100" rtlCol="0" anchor="t">
        <a:spAutoFit/>
      </a:bodyPr>
      <a:lstStyle>
        <a:defPPr marL="0" marR="0" indent="0" algn="l" defTabSz="914400">
          <a:lnSpc>
            <a:spcPct val="100000"/>
          </a:lnSpc>
          <a:spcBef>
            <a:spcPts val="0"/>
          </a:spcBef>
          <a:spcAft>
            <a:spcPts val="0"/>
          </a:spcAft>
          <a:buClrTx/>
          <a:buSzTx/>
          <a:buFontTx/>
          <a:buNone/>
          <a:defRPr sz="1100" b="0" i="0" u="none" strike="noStrike" cap="none" spc="0" baseline="0">
            <a:ln>
              <a:noFill/>
            </a:ln>
            <a:solidFill>
              <a:srgbClr val="000000"/>
            </a:solidFill>
            <a:latin typeface="Calibri"/>
            <a:ea typeface="Calibri"/>
            <a:cs typeface="Calibri"/>
          </a:defRPr>
        </a:defPPr>
        <a:lvl1pPr marL="0" marR="0" indent="0" algn="l" defTabSz="914400">
          <a:lnSpc>
            <a:spcPct val="100000"/>
          </a:lnSpc>
          <a:spcBef>
            <a:spcPts val="0"/>
          </a:spcBef>
          <a:spcAft>
            <a:spcPts val="0"/>
          </a:spcAft>
          <a:buClrTx/>
          <a:buSzTx/>
          <a:buFontTx/>
          <a:buNone/>
          <a:defRPr sz="1800" b="0" i="0" u="none" strike="noStrike" cap="none" spc="0" baseline="0">
            <a:ln>
              <a:noFill/>
            </a:ln>
            <a:solidFill>
              <a:srgbClr val="000000"/>
            </a:solidFill>
          </a:defRPr>
        </a:lvl1pPr>
        <a:lvl2pPr marL="0" marR="0" indent="0" algn="l" defTabSz="914400">
          <a:lnSpc>
            <a:spcPct val="100000"/>
          </a:lnSpc>
          <a:spcBef>
            <a:spcPts val="0"/>
          </a:spcBef>
          <a:spcAft>
            <a:spcPts val="0"/>
          </a:spcAft>
          <a:buClrTx/>
          <a:buSzTx/>
          <a:buFontTx/>
          <a:buNone/>
          <a:defRPr sz="1800" b="0" i="0" u="none" strike="noStrike" cap="none" spc="0" baseline="0">
            <a:ln>
              <a:noFill/>
            </a:ln>
            <a:solidFill>
              <a:srgbClr val="000000"/>
            </a:solidFill>
          </a:defRPr>
        </a:lvl2pPr>
        <a:lvl3pPr marL="0" marR="0" indent="0" algn="l" defTabSz="914400">
          <a:lnSpc>
            <a:spcPct val="100000"/>
          </a:lnSpc>
          <a:spcBef>
            <a:spcPts val="0"/>
          </a:spcBef>
          <a:spcAft>
            <a:spcPts val="0"/>
          </a:spcAft>
          <a:buClrTx/>
          <a:buSzTx/>
          <a:buFontTx/>
          <a:buNone/>
          <a:defRPr sz="1800" b="0" i="0" u="none" strike="noStrike" cap="none" spc="0" baseline="0">
            <a:ln>
              <a:noFill/>
            </a:ln>
            <a:solidFill>
              <a:srgbClr val="000000"/>
            </a:solidFill>
          </a:defRPr>
        </a:lvl3pPr>
        <a:lvl4pPr marL="0" marR="0" indent="0" algn="l" defTabSz="914400">
          <a:lnSpc>
            <a:spcPct val="100000"/>
          </a:lnSpc>
          <a:spcBef>
            <a:spcPts val="0"/>
          </a:spcBef>
          <a:spcAft>
            <a:spcPts val="0"/>
          </a:spcAft>
          <a:buClrTx/>
          <a:buSzTx/>
          <a:buFontTx/>
          <a:buNone/>
          <a:defRPr sz="1800" b="0" i="0" u="none" strike="noStrike" cap="none" spc="0" baseline="0">
            <a:ln>
              <a:noFill/>
            </a:ln>
            <a:solidFill>
              <a:srgbClr val="000000"/>
            </a:solidFill>
          </a:defRPr>
        </a:lvl4pPr>
        <a:lvl5pPr marL="0" marR="0" indent="0" algn="l" defTabSz="914400">
          <a:lnSpc>
            <a:spcPct val="100000"/>
          </a:lnSpc>
          <a:spcBef>
            <a:spcPts val="0"/>
          </a:spcBef>
          <a:spcAft>
            <a:spcPts val="0"/>
          </a:spcAft>
          <a:buClrTx/>
          <a:buSzTx/>
          <a:buFontTx/>
          <a:buNone/>
          <a:defRPr sz="1800" b="0" i="0" u="none" strike="noStrike" cap="none" spc="0" baseline="0">
            <a:ln>
              <a:noFill/>
            </a:ln>
            <a:solidFill>
              <a:srgbClr val="000000"/>
            </a:solidFill>
          </a:defRPr>
        </a:lvl5pPr>
        <a:lvl6pPr marL="0" marR="0" indent="0" algn="l" defTabSz="914400">
          <a:lnSpc>
            <a:spcPct val="100000"/>
          </a:lnSpc>
          <a:spcBef>
            <a:spcPts val="0"/>
          </a:spcBef>
          <a:spcAft>
            <a:spcPts val="0"/>
          </a:spcAft>
          <a:buClrTx/>
          <a:buSzTx/>
          <a:buFontTx/>
          <a:buNone/>
          <a:defRPr sz="1800" b="0" i="0" u="none" strike="noStrike" cap="none" spc="0" baseline="0">
            <a:ln>
              <a:noFill/>
            </a:ln>
            <a:solidFill>
              <a:srgbClr val="000000"/>
            </a:solidFill>
          </a:defRPr>
        </a:lvl6pPr>
        <a:lvl7pPr marL="0" marR="0" indent="0" algn="l" defTabSz="914400">
          <a:lnSpc>
            <a:spcPct val="100000"/>
          </a:lnSpc>
          <a:spcBef>
            <a:spcPts val="0"/>
          </a:spcBef>
          <a:spcAft>
            <a:spcPts val="0"/>
          </a:spcAft>
          <a:buClrTx/>
          <a:buSzTx/>
          <a:buFontTx/>
          <a:buNone/>
          <a:defRPr sz="1800" b="0" i="0" u="none" strike="noStrike" cap="none" spc="0" baseline="0">
            <a:ln>
              <a:noFill/>
            </a:ln>
            <a:solidFill>
              <a:srgbClr val="000000"/>
            </a:solidFill>
          </a:defRPr>
        </a:lvl7pPr>
        <a:lvl8pPr marL="0" marR="0" indent="0" algn="l" defTabSz="914400">
          <a:lnSpc>
            <a:spcPct val="100000"/>
          </a:lnSpc>
          <a:spcBef>
            <a:spcPts val="0"/>
          </a:spcBef>
          <a:spcAft>
            <a:spcPts val="0"/>
          </a:spcAft>
          <a:buClrTx/>
          <a:buSzTx/>
          <a:buFontTx/>
          <a:buNone/>
          <a:defRPr sz="1800" b="0" i="0" u="none" strike="noStrike" cap="none" spc="0" baseline="0">
            <a:ln>
              <a:noFill/>
            </a:ln>
            <a:solidFill>
              <a:srgbClr val="000000"/>
            </a:solidFill>
          </a:defRPr>
        </a:lvl8pPr>
        <a:lvl9pPr marL="0" marR="0" indent="0" algn="l" defTabSz="914400">
          <a:lnSpc>
            <a:spcPct val="100000"/>
          </a:lnSpc>
          <a:spcBef>
            <a:spcPts val="0"/>
          </a:spcBef>
          <a:spcAft>
            <a:spcPts val="0"/>
          </a:spcAft>
          <a:buClrTx/>
          <a:buSzTx/>
          <a:buFontTx/>
          <a:buNone/>
          <a:defRPr sz="1800" b="0" i="0" u="none" strike="noStrike" cap="none" spc="0" baseline="0">
            <a:ln>
              <a:noFill/>
            </a:ln>
            <a:solidFill>
              <a:srgbClr val="000000"/>
            </a:solidFill>
          </a:defRPr>
        </a:lvl9pPr>
      </a:lstStyle>
      <a:style>
        <a:lnRef idx="0"/>
        <a:fillRef idx="0"/>
        <a:effectRef idx="0"/>
        <a:fontRef/>
      </a:style>
    </a:txDef>
  </a:objectDefaults>
</a:theme>
</file>

<file path=xl/worksheets/sheet1.xml><?xml version="1.0" encoding="utf-8"?>
<x:worksheet xmlns:x="http://schemas.openxmlformats.org/spreadsheetml/2006/main">
  <x:sheetViews>
    <x:sheetView showGridLines="0" workbookViewId="0"/>
  </x:sheetViews>
  <x:sheetFormatPr defaultColWidth="10" defaultRowHeight="13"/>
  <x:cols>
    <x:col min="1" max="1" width="2" customWidth="1"/>
    <x:col min="2" max="4" width="30.55470085144043" customWidth="1"/>
  </x:cols>
  <x:sheetData>
    <x:row r="3" ht="0.05000000074505806" customHeight="1">
      <x:c r="B3" s="1" t="s">
        <x:v>0</x:v>
      </x:c>
      <x:c r="C3"/>
      <x:c r="D3"/>
    </x:row>
    <x:row r="7">
      <x:c r="B7" s="2" t="s">
        <x:v>1</x:v>
      </x:c>
      <x:c r="C7" s="2" t="s">
        <x:v>2</x:v>
      </x:c>
      <x:c r="D7" s="2" t="s">
        <x:v>3</x:v>
      </x:c>
    </x:row>
    <x:row r="9">
      <x:c r="B9" s="3" t="s">
        <x:v>4</x:v>
      </x:c>
      <x:c r="C9" s="3"/>
      <x:c r="D9" s="3"/>
    </x:row>
    <x:row r="10">
      <x:c r="B10" s="4"/>
      <x:c r="C10" s="4" t="s">
        <x:v>5</x:v>
      </x:c>
      <x:c r="D10" s="5" t="s">
        <x:v>4</x:v>
      </x:c>
    </x:row>
    <x:row r="11">
      <x:c r="B11" s="3" t="s">
        <x:v>6</x:v>
      </x:c>
      <x:c r="C11" s="3"/>
      <x:c r="D11" s="3"/>
    </x:row>
    <x:row r="12">
      <x:c r="B12" s="4"/>
      <x:c r="C12" s="4" t="s">
        <x:v>5</x:v>
      </x:c>
      <x:c r="D12" s="5" t="s">
        <x:v>6</x:v>
      </x:c>
    </x:row>
  </x:sheetData>
  <x:mergeCells>
    <x:mergeCell ref="B3:D3"/>
  </x:mergeCells>
  <x:hyperlinks>
    <x:hyperlink ref="D10" location="'E2E checklist'!R1C1"/>
    <x:hyperlink ref="D12" location="'Run log'!R1C1"/>
  </x:hyperlink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8.833330154418945" defaultRowHeight="15"/>
  <x:cols>
    <x:col min="1" max="1" width="42.17190170288086" style="6" customWidth="1"/>
    <x:col min="2" max="2" width="38.351600646972656" style="6" customWidth="1"/>
    <x:col min="3" max="3" width="7.851560115814209" style="6" customWidth="1"/>
    <x:col min="4" max="4" width="16.671899795532227" style="6" customWidth="1"/>
    <x:col min="5" max="5" width="27.851600646972656" style="6" customWidth="1"/>
    <x:col min="6" max="11" width="14.5" style="6" customWidth="1"/>
    <x:col min="12" max="16384" width="8.85155963897705" style="6" customWidth="1"/>
  </x:cols>
  <x:sheetData>
    <x:row r="1" ht="13.550000190734863" customHeight="1">
      <x:c r="A1" s="7"/>
      <x:c r="B1" s="8"/>
      <x:c r="C1" s="8"/>
      <x:c r="D1" s="8"/>
      <x:c r="E1" s="8"/>
      <x:c r="F1" s="8"/>
      <x:c r="G1" s="8"/>
      <x:c r="H1" s="8"/>
      <x:c r="I1" s="8"/>
      <x:c r="J1" s="8"/>
      <x:c r="K1" s="9"/>
    </x:row>
    <x:row r="2" ht="22.5" customHeight="1">
      <x:c r="A2" s="10" t="s">
        <x:v>7</x:v>
      </x:c>
      <x:c r="B2" s="11"/>
      <x:c r="C2" s="11"/>
      <x:c r="D2" s="11"/>
      <x:c r="E2" s="11"/>
      <x:c r="F2" s="11"/>
      <x:c r="G2" s="11"/>
      <x:c r="H2" s="11"/>
      <x:c r="I2" s="11"/>
      <x:c r="J2" s="11"/>
      <x:c r="K2" s="12"/>
    </x:row>
    <x:row r="3" ht="25.5" customHeight="1">
      <x:c r="A3" s="13" t="s">
        <x:v>8</x:v>
      </x:c>
      <x:c r="B3" s="14"/>
      <x:c r="C3" s="14"/>
      <x:c r="D3" s="14"/>
      <x:c r="E3" s="14"/>
      <x:c r="F3" s="14"/>
      <x:c r="G3" s="14"/>
      <x:c r="H3" s="14"/>
      <x:c r="I3" s="14"/>
      <x:c r="J3" s="14"/>
      <x:c r="K3" s="15"/>
    </x:row>
    <x:row r="4" ht="13.649999618530273" customHeight="1">
      <x:c r="A4" s="16"/>
      <x:c r="B4" s="17"/>
      <x:c r="C4" s="17"/>
      <x:c r="D4" s="17"/>
      <x:c r="E4" s="17"/>
      <x:c r="F4" s="18" t="s">
        <x:v>9</x:v>
      </x:c>
      <x:c r="G4" s="19"/>
      <x:c r="H4" s="18" t="s">
        <x:v>10</x:v>
      </x:c>
      <x:c r="I4" s="19"/>
      <x:c r="J4" s="18" t="s">
        <x:v>11</x:v>
      </x:c>
      <x:c r="K4" s="20"/>
    </x:row>
    <x:row r="5" ht="13.649999618530273" customHeight="1">
      <x:c r="A5" s="21" t="s">
        <x:v>12</x:v>
      </x:c>
      <x:c r="B5" s="18" t="s">
        <x:v>13</x:v>
      </x:c>
      <x:c r="C5" s="17"/>
      <x:c r="D5" s="17"/>
      <x:c r="E5" s="17"/>
      <x:c r="F5" s="22" t="s">
        <x:v>14</x:v>
      </x:c>
      <x:c r="G5" s="22" t="s">
        <x:v>15</x:v>
      </x:c>
      <x:c r="H5" s="22" t="s">
        <x:v>14</x:v>
      </x:c>
      <x:c r="I5" s="22" t="s">
        <x:v>15</x:v>
      </x:c>
      <x:c r="J5" s="22" t="s">
        <x:v>14</x:v>
      </x:c>
      <x:c r="K5" s="23" t="s">
        <x:v>15</x:v>
      </x:c>
    </x:row>
    <x:row r="6" ht="13.649999618530273" customHeight="1">
      <x:c r="A6" s="24" t="s">
        <x:v>16</x:v>
      </x:c>
      <x:c r="B6" s="25" t="s">
        <x:v>17</x:v>
      </x:c>
      <x:c r="C6" s="17"/>
      <x:c r="D6" s="17"/>
      <x:c r="E6" s="17"/>
      <x:c r="F6" s="26" t="n">
        <x:f>_xlfn.COUNTIFS(F$14:F$133,"Pass*")</x:f>
        <x:v>0</x:v>
      </x:c>
      <x:c r="G6" s="26" t="n">
        <x:f>_xlfn.COUNTIFS(G$14:G$133,"Pass*")</x:f>
        <x:v>0</x:v>
      </x:c>
      <x:c r="H6" s="26" t="n">
        <x:f>_xlfn.COUNTIFS(H$14:H$133,"Pass*")</x:f>
        <x:v>0</x:v>
      </x:c>
      <x:c r="I6" s="26" t="n">
        <x:f>_xlfn.COUNTIFS(I$14:I$133,"Pass*")</x:f>
        <x:v>0</x:v>
      </x:c>
      <x:c r="J6" s="26" t="n">
        <x:f>_xlfn.COUNTIFS(J$14:J$133,"Pass*")</x:f>
        <x:v>0</x:v>
      </x:c>
      <x:c r="K6" s="27" t="n">
        <x:f>_xlfn.COUNTIFS(K$14:K$133,"Pass*")</x:f>
        <x:v>0</x:v>
      </x:c>
    </x:row>
    <x:row r="7" ht="13.649999618530273" customHeight="1">
      <x:c r="A7" s="24" t="s">
        <x:v>18</x:v>
      </x:c>
      <x:c r="B7" s="25" t="s">
        <x:v>19</x:v>
      </x:c>
      <x:c r="C7" s="17"/>
      <x:c r="D7" s="17"/>
      <x:c r="E7" s="17"/>
      <x:c r="F7" s="26" t="n">
        <x:f>_xlfn.COUNTIFS(F$14:F$133,"Fail*")</x:f>
        <x:v>0</x:v>
      </x:c>
      <x:c r="G7" s="26" t="n">
        <x:f>_xlfn.COUNTIFS(G$14:G$133,"Fail*")</x:f>
        <x:v>0</x:v>
      </x:c>
      <x:c r="H7" s="26" t="n">
        <x:f>_xlfn.COUNTIFS(H$14:H$133,"Fail*")</x:f>
        <x:v>0</x:v>
      </x:c>
      <x:c r="I7" s="26" t="n">
        <x:f>_xlfn.COUNTIFS(I$14:I$133,"Fail*")</x:f>
        <x:v>0</x:v>
      </x:c>
      <x:c r="J7" s="26" t="n">
        <x:f>_xlfn.COUNTIFS(J$14:J$133,"Fail*")</x:f>
        <x:v>0</x:v>
      </x:c>
      <x:c r="K7" s="27" t="n">
        <x:f>_xlfn.COUNTIFS(K$14:K$133,"Fail*")</x:f>
        <x:v>0</x:v>
      </x:c>
    </x:row>
    <x:row r="8" ht="13.649999618530273" customHeight="1">
      <x:c r="A8" s="24" t="s">
        <x:v>20</x:v>
      </x:c>
      <x:c r="B8" s="25" t="s">
        <x:v>21</x:v>
      </x:c>
      <x:c r="C8" s="17"/>
      <x:c r="D8" s="17"/>
      <x:c r="E8" s="17"/>
      <x:c r="F8" s="26" t="n">
        <x:f>_xlfn.COUNTIFS(F$14:F$133,"Blocked*")</x:f>
        <x:v>0</x:v>
      </x:c>
      <x:c r="G8" s="26" t="n">
        <x:f>_xlfn.COUNTIFS(G$14:G$133,"Blocked*")</x:f>
        <x:v>0</x:v>
      </x:c>
      <x:c r="H8" s="26" t="n">
        <x:f>_xlfn.COUNTIFS(H$14:H$133,"Blocked*")</x:f>
        <x:v>0</x:v>
      </x:c>
      <x:c r="I8" s="26" t="n">
        <x:f>_xlfn.COUNTIFS(I$14:I$133,"Blocked*")</x:f>
        <x:v>0</x:v>
      </x:c>
      <x:c r="J8" s="26" t="n">
        <x:f>_xlfn.COUNTIFS(J$14:J$133,"Blocked*")</x:f>
        <x:v>0</x:v>
      </x:c>
      <x:c r="K8" s="27" t="n">
        <x:f>_xlfn.COUNTIFS(K$14:K$133,"Blocked*")</x:f>
        <x:v>0</x:v>
      </x:c>
    </x:row>
    <x:row r="9" ht="13.649999618530273" customHeight="1">
      <x:c r="A9" s="24" t="s">
        <x:v>22</x:v>
      </x:c>
      <x:c r="B9" s="25" t="s">
        <x:v>23</x:v>
      </x:c>
      <x:c r="C9" s="17"/>
      <x:c r="D9" s="17"/>
      <x:c r="E9" s="17"/>
      <x:c r="F9" s="26" t="n">
        <x:f>_xlfn.COUNTIFS(F$14:F$133,"Not run*")</x:f>
        <x:v>0</x:v>
      </x:c>
      <x:c r="G9" s="26" t="n">
        <x:f>_xlfn.COUNTIFS(G$14:G$133,"Not run*")</x:f>
        <x:v>0</x:v>
      </x:c>
      <x:c r="H9" s="26" t="n">
        <x:f>_xlfn.COUNTIFS(H$14:H$133,"Not run*")</x:f>
        <x:v>0</x:v>
      </x:c>
      <x:c r="I9" s="26" t="n">
        <x:f>_xlfn.COUNTIFS(I$14:I$133,"Not run*")</x:f>
        <x:v>0</x:v>
      </x:c>
      <x:c r="J9" s="26" t="n">
        <x:f>_xlfn.COUNTIFS(J$14:J$133,"Not run*")</x:f>
        <x:v>0</x:v>
      </x:c>
      <x:c r="K9" s="27" t="n">
        <x:f>_xlfn.COUNTIFS(K$14:K$133,"Not run*")</x:f>
        <x:v>0</x:v>
      </x:c>
    </x:row>
    <x:row r="10" ht="13.550000190734863" customHeight="1">
      <x:c r="A10" s="28"/>
      <x:c r="B10" s="29"/>
      <x:c r="C10" s="29"/>
      <x:c r="D10" s="29"/>
      <x:c r="E10" s="29"/>
      <x:c r="F10" s="29"/>
      <x:c r="G10" s="29"/>
      <x:c r="H10" s="29"/>
      <x:c r="I10" s="29"/>
      <x:c r="J10" s="29"/>
      <x:c r="K10" s="30"/>
    </x:row>
    <x:row r="11" ht="21" customHeight="1">
      <x:c r="A11" s="31" t="s">
        <x:v>24</x:v>
      </x:c>
      <x:c r="B11" s="32" t="s">
        <x:v>25</x:v>
      </x:c>
      <x:c r="C11" s="32" t="s">
        <x:v>26</x:v>
      </x:c>
      <x:c r="D11" s="32" t="s">
        <x:v>27</x:v>
      </x:c>
      <x:c r="E11" s="33" t="s">
        <x:v>28</x:v>
      </x:c>
      <x:c r="F11" s="31" t="s">
        <x:v>9</x:v>
      </x:c>
      <x:c r="G11" s="34"/>
      <x:c r="H11" s="32" t="s">
        <x:v>10</x:v>
      </x:c>
      <x:c r="I11" s="34"/>
      <x:c r="J11" s="32" t="s">
        <x:v>11</x:v>
      </x:c>
      <x:c r="K11" s="35"/>
    </x:row>
    <x:row r="12" ht="18" customHeight="1">
      <x:c r="A12" s="36"/>
      <x:c r="B12" s="37"/>
      <x:c r="C12" s="37"/>
      <x:c r="D12" s="37"/>
      <x:c r="E12" s="38"/>
      <x:c r="F12" s="39" t="s">
        <x:v>14</x:v>
      </x:c>
      <x:c r="G12" s="39" t="s">
        <x:v>15</x:v>
      </x:c>
      <x:c r="H12" s="39" t="s">
        <x:v>14</x:v>
      </x:c>
      <x:c r="I12" s="39" t="s">
        <x:v>15</x:v>
      </x:c>
      <x:c r="J12" s="39" t="s">
        <x:v>14</x:v>
      </x:c>
      <x:c r="K12" s="39" t="s">
        <x:v>15</x:v>
      </x:c>
    </x:row>
    <x:row r="13" ht="19.5" customHeight="1">
      <x:c r="A13" s="40" t="s">
        <x:v>29</x:v>
      </x:c>
      <x:c r="B13" s="41"/>
      <x:c r="C13" s="42"/>
      <x:c r="D13" s="41"/>
      <x:c r="E13" s="41"/>
      <x:c r="F13" s="41"/>
      <x:c r="G13" s="41"/>
      <x:c r="H13" s="41"/>
      <x:c r="I13" s="41"/>
      <x:c r="J13" s="41"/>
      <x:c r="K13" s="43"/>
    </x:row>
    <x:row r="14" ht="43.5" customHeight="1">
      <x:c r="A14" s="44" t="s">
        <x:v>30</x:v>
      </x:c>
      <x:c r="B14" s="45" t="s">
        <x:v>31</x:v>
      </x:c>
      <x:c r="C14" s="46" t="s">
        <x:v>32</x:v>
      </x:c>
      <x:c r="D14" s="45" t="s">
        <x:v>33</x:v>
      </x:c>
      <x:c r="E14" s="45" t="s">
        <x:v>34</x:v>
      </x:c>
      <x:c r="F14" s="47" t="s">
        <x:v>16</x:v>
      </x:c>
      <x:c r="G14" s="48"/>
      <x:c r="H14" s="48"/>
      <x:c r="I14" s="48"/>
      <x:c r="J14" s="48"/>
      <x:c r="K14" s="49"/>
    </x:row>
    <x:row r="15" ht="43.5" customHeight="1">
      <x:c r="A15" s="50" t="s">
        <x:v>35</x:v>
      </x:c>
      <x:c r="B15" s="51" t="s">
        <x:v>36</x:v>
      </x:c>
      <x:c r="C15" s="52" t="s">
        <x:v>32</x:v>
      </x:c>
      <x:c r="D15" s="51" t="s">
        <x:v>33</x:v>
      </x:c>
      <x:c r="E15" s="51" t="s">
        <x:v>37</x:v>
      </x:c>
      <x:c r="F15" s="53"/>
      <x:c r="G15" s="54"/>
      <x:c r="H15" s="54"/>
      <x:c r="I15" s="54"/>
      <x:c r="J15" s="54"/>
      <x:c r="K15" s="55"/>
    </x:row>
    <x:row r="16" ht="43.5" customHeight="1">
      <x:c r="A16" s="50" t="s">
        <x:v>38</x:v>
      </x:c>
      <x:c r="B16" s="51" t="s">
        <x:v>39</x:v>
      </x:c>
      <x:c r="C16" s="52" t="s">
        <x:v>40</x:v>
      </x:c>
      <x:c r="D16" s="51" t="s">
        <x:v>33</x:v>
      </x:c>
      <x:c r="E16" s="51" t="s">
        <x:v>41</x:v>
      </x:c>
      <x:c r="F16" s="56" t="s">
        <x:v>16</x:v>
      </x:c>
      <x:c r="G16" s="54"/>
      <x:c r="H16" s="54"/>
      <x:c r="I16" s="54"/>
      <x:c r="J16" s="54"/>
      <x:c r="K16" s="55"/>
    </x:row>
    <x:row r="17" ht="43.5" customHeight="1">
      <x:c r="A17" s="50" t="s">
        <x:v>42</x:v>
      </x:c>
      <x:c r="B17" s="51" t="s">
        <x:v>43</x:v>
      </x:c>
      <x:c r="C17" s="52" t="s">
        <x:v>32</x:v>
      </x:c>
      <x:c r="D17" s="51" t="s">
        <x:v>33</x:v>
      </x:c>
      <x:c r="E17" s="51" t="s">
        <x:v>44</x:v>
      </x:c>
      <x:c r="F17" s="56" t="s">
        <x:v>16</x:v>
      </x:c>
      <x:c r="G17" s="54"/>
      <x:c r="H17" s="54"/>
      <x:c r="I17" s="54"/>
      <x:c r="J17" s="54"/>
      <x:c r="K17" s="55"/>
    </x:row>
    <x:row r="18" ht="43.5" customHeight="1">
      <x:c r="A18" s="57" t="s">
        <x:v>45</x:v>
      </x:c>
      <x:c r="B18" s="58" t="s">
        <x:v>46</x:v>
      </x:c>
      <x:c r="C18" s="59" t="s">
        <x:v>32</x:v>
      </x:c>
      <x:c r="D18" s="58" t="s">
        <x:v>33</x:v>
      </x:c>
      <x:c r="E18" s="58" t="s">
        <x:v>47</x:v>
      </x:c>
      <x:c r="F18" s="56" t="s">
        <x:v>16</x:v>
      </x:c>
      <x:c r="G18" s="60"/>
      <x:c r="H18" s="60"/>
      <x:c r="I18" s="60"/>
      <x:c r="J18" s="60"/>
      <x:c r="K18" s="61"/>
    </x:row>
    <x:row r="19" ht="19.5" customHeight="1">
      <x:c r="A19" s="40" t="s">
        <x:v>48</x:v>
      </x:c>
      <x:c r="B19" s="41"/>
      <x:c r="C19" s="42"/>
      <x:c r="D19" s="41"/>
      <x:c r="E19" s="41"/>
      <x:c r="F19" s="62"/>
      <x:c r="G19" s="41"/>
      <x:c r="H19" s="41"/>
      <x:c r="I19" s="41"/>
      <x:c r="J19" s="41"/>
      <x:c r="K19" s="43"/>
    </x:row>
    <x:row r="20" ht="43.5" customHeight="1">
      <x:c r="A20" s="44" t="s">
        <x:v>49</x:v>
      </x:c>
      <x:c r="B20" s="45" t="s">
        <x:v>50</x:v>
      </x:c>
      <x:c r="C20" s="46" t="s">
        <x:v>32</x:v>
      </x:c>
      <x:c r="D20" s="45" t="s">
        <x:v>33</x:v>
      </x:c>
      <x:c r="E20" s="45" t="s">
        <x:v>51</x:v>
      </x:c>
      <x:c r="F20" s="47" t="s">
        <x:v>16</x:v>
      </x:c>
      <x:c r="G20" s="48"/>
      <x:c r="H20" s="48"/>
      <x:c r="I20" s="48"/>
      <x:c r="J20" s="48"/>
      <x:c r="K20" s="49"/>
    </x:row>
    <x:row r="21" ht="46.650001525878906" customHeight="1">
      <x:c r="A21" s="50" t="s">
        <x:v>52</x:v>
      </x:c>
      <x:c r="B21" s="51" t="s">
        <x:v>53</x:v>
      </x:c>
      <x:c r="C21" s="52" t="s">
        <x:v>40</x:v>
      </x:c>
      <x:c r="D21" s="51" t="s">
        <x:v>33</x:v>
      </x:c>
      <x:c r="E21" s="51" t="s">
        <x:v>54</x:v>
      </x:c>
      <x:c r="F21" s="56" t="s">
        <x:v>55</x:v>
      </x:c>
      <x:c r="G21" s="54"/>
      <x:c r="H21" s="54"/>
      <x:c r="I21" s="54"/>
      <x:c r="J21" s="54"/>
      <x:c r="K21" s="55"/>
    </x:row>
    <x:row r="22" ht="43.5" customHeight="1">
      <x:c r="A22" s="50" t="s">
        <x:v>56</x:v>
      </x:c>
      <x:c r="B22" s="51" t="s">
        <x:v>57</x:v>
      </x:c>
      <x:c r="C22" s="52" t="s">
        <x:v>32</x:v>
      </x:c>
      <x:c r="D22" s="51" t="s">
        <x:v>33</x:v>
      </x:c>
      <x:c r="E22" s="51" t="s">
        <x:v>58</x:v>
      </x:c>
      <x:c r="F22" s="56" t="s">
        <x:v>59</x:v>
      </x:c>
      <x:c r="G22" s="54"/>
      <x:c r="H22" s="54"/>
      <x:c r="I22" s="54"/>
      <x:c r="J22" s="54"/>
      <x:c r="K22" s="55"/>
    </x:row>
    <x:row r="23" ht="68.6500015258789" customHeight="1">
      <x:c r="A23" s="50" t="s">
        <x:v>60</x:v>
      </x:c>
      <x:c r="B23" s="51" t="s">
        <x:v>61</x:v>
      </x:c>
      <x:c r="C23" s="52" t="s">
        <x:v>40</x:v>
      </x:c>
      <x:c r="D23" s="51" t="s">
        <x:v>33</x:v>
      </x:c>
      <x:c r="E23" s="51" t="s">
        <x:v>62</x:v>
      </x:c>
      <x:c r="F23" s="56" t="s">
        <x:v>63</x:v>
      </x:c>
      <x:c r="G23" s="54"/>
      <x:c r="H23" s="54"/>
      <x:c r="I23" s="54"/>
      <x:c r="J23" s="54"/>
      <x:c r="K23" s="55"/>
    </x:row>
    <x:row r="24" ht="43.5" customHeight="1">
      <x:c r="A24" s="50" t="s">
        <x:v>64</x:v>
      </x:c>
      <x:c r="B24" s="51" t="s">
        <x:v>65</x:v>
      </x:c>
      <x:c r="C24" s="52" t="s">
        <x:v>32</x:v>
      </x:c>
      <x:c r="D24" s="51" t="s">
        <x:v>33</x:v>
      </x:c>
      <x:c r="E24" s="51" t="s">
        <x:v>66</x:v>
      </x:c>
      <x:c r="F24" s="56" t="s">
        <x:v>16</x:v>
      </x:c>
      <x:c r="G24" s="54"/>
      <x:c r="H24" s="54"/>
      <x:c r="I24" s="54"/>
      <x:c r="J24" s="54"/>
      <x:c r="K24" s="55"/>
    </x:row>
    <x:row r="25" ht="43.5" customHeight="1">
      <x:c r="A25" s="50" t="s">
        <x:v>67</x:v>
      </x:c>
      <x:c r="B25" s="51" t="s">
        <x:v>68</x:v>
      </x:c>
      <x:c r="C25" s="52" t="s">
        <x:v>40</x:v>
      </x:c>
      <x:c r="D25" s="51" t="s">
        <x:v>33</x:v>
      </x:c>
      <x:c r="E25" s="51" t="s">
        <x:v>66</x:v>
      </x:c>
      <x:c r="F25" s="56" t="s">
        <x:v>16</x:v>
      </x:c>
      <x:c r="G25" s="54"/>
      <x:c r="H25" s="54"/>
      <x:c r="I25" s="54"/>
      <x:c r="J25" s="54"/>
      <x:c r="K25" s="55"/>
    </x:row>
    <x:row r="26" ht="35.650001525878906" customHeight="1">
      <x:c r="A26" s="50" t="s">
        <x:v>69</x:v>
      </x:c>
      <x:c r="B26" s="51" t="s">
        <x:v>70</x:v>
      </x:c>
      <x:c r="C26" s="52" t="s">
        <x:v>32</x:v>
      </x:c>
      <x:c r="D26" s="51" t="s">
        <x:v>33</x:v>
      </x:c>
      <x:c r="E26" s="51" t="s">
        <x:v>71</x:v>
      </x:c>
      <x:c r="F26" s="56" t="s">
        <x:v>72</x:v>
      </x:c>
      <x:c r="G26" s="54"/>
      <x:c r="H26" s="54"/>
      <x:c r="I26" s="54"/>
      <x:c r="J26" s="54"/>
      <x:c r="K26" s="55"/>
    </x:row>
    <x:row r="27" ht="24.649999618530273" customHeight="1">
      <x:c r="A27" s="50" t="s">
        <x:v>73</x:v>
      </x:c>
      <x:c r="B27" s="51" t="s">
        <x:v>74</x:v>
      </x:c>
      <x:c r="C27" s="52" t="s">
        <x:v>32</x:v>
      </x:c>
      <x:c r="D27" s="51" t="s">
        <x:v>33</x:v>
      </x:c>
      <x:c r="E27" s="51" t="s">
        <x:v>75</x:v>
      </x:c>
      <x:c r="F27" s="56" t="s">
        <x:v>76</x:v>
      </x:c>
      <x:c r="G27" s="54"/>
      <x:c r="H27" s="54"/>
      <x:c r="I27" s="54"/>
      <x:c r="J27" s="54"/>
      <x:c r="K27" s="55"/>
    </x:row>
    <x:row r="28" ht="43.5" customHeight="1">
      <x:c r="A28" s="50" t="s">
        <x:v>77</x:v>
      </x:c>
      <x:c r="B28" s="51" t="s">
        <x:v>78</x:v>
      </x:c>
      <x:c r="C28" s="52" t="s">
        <x:v>32</x:v>
      </x:c>
      <x:c r="D28" s="51" t="s">
        <x:v>33</x:v>
      </x:c>
      <x:c r="E28" s="51" t="s">
        <x:v>41</x:v>
      </x:c>
      <x:c r="F28" s="56" t="s">
        <x:v>16</x:v>
      </x:c>
      <x:c r="G28" s="54"/>
      <x:c r="H28" s="54"/>
      <x:c r="I28" s="54"/>
      <x:c r="J28" s="54"/>
      <x:c r="K28" s="55"/>
    </x:row>
    <x:row r="29" ht="43.5" customHeight="1">
      <x:c r="A29" s="50" t="s">
        <x:v>79</x:v>
      </x:c>
      <x:c r="B29" s="51" t="s">
        <x:v>80</x:v>
      </x:c>
      <x:c r="C29" s="52" t="s">
        <x:v>32</x:v>
      </x:c>
      <x:c r="D29" s="51" t="s">
        <x:v>33</x:v>
      </x:c>
      <x:c r="E29" s="51" t="s">
        <x:v>81</x:v>
      </x:c>
      <x:c r="F29" s="63"/>
      <x:c r="G29" s="54"/>
      <x:c r="H29" s="54"/>
      <x:c r="I29" s="54"/>
      <x:c r="J29" s="54"/>
      <x:c r="K29" s="55"/>
    </x:row>
    <x:row r="30" ht="43.5" customHeight="1">
      <x:c r="A30" s="57" t="s">
        <x:v>82</x:v>
      </x:c>
      <x:c r="B30" s="58" t="s">
        <x:v>83</x:v>
      </x:c>
      <x:c r="C30" s="59" t="s">
        <x:v>32</x:v>
      </x:c>
      <x:c r="D30" s="58" t="s">
        <x:v>33</x:v>
      </x:c>
      <x:c r="E30" s="58" t="s">
        <x:v>84</x:v>
      </x:c>
      <x:c r="F30" s="60"/>
      <x:c r="G30" s="60"/>
      <x:c r="H30" s="60"/>
      <x:c r="I30" s="60"/>
      <x:c r="J30" s="60"/>
      <x:c r="K30" s="61"/>
    </x:row>
    <x:row r="31" ht="19.5" customHeight="1">
      <x:c r="A31" s="40" t="s">
        <x:v>85</x:v>
      </x:c>
      <x:c r="B31" s="41"/>
      <x:c r="C31" s="42"/>
      <x:c r="D31" s="41"/>
      <x:c r="E31" s="41"/>
      <x:c r="F31" s="41"/>
      <x:c r="G31" s="41"/>
      <x:c r="H31" s="41"/>
      <x:c r="I31" s="41"/>
      <x:c r="J31" s="41"/>
      <x:c r="K31" s="43"/>
    </x:row>
    <x:row r="32" ht="43.5" customHeight="1">
      <x:c r="A32" s="44" t="s">
        <x:v>86</x:v>
      </x:c>
      <x:c r="B32" s="45" t="s">
        <x:v>87</x:v>
      </x:c>
      <x:c r="C32" s="46" t="s">
        <x:v>40</x:v>
      </x:c>
      <x:c r="D32" s="45" t="s">
        <x:v>33</x:v>
      </x:c>
      <x:c r="E32" s="45" t="s">
        <x:v>88</x:v>
      </x:c>
      <x:c r="F32" s="47" t="s">
        <x:v>16</x:v>
      </x:c>
      <x:c r="G32" s="48"/>
      <x:c r="H32" s="48"/>
      <x:c r="I32" s="48"/>
      <x:c r="J32" s="48"/>
      <x:c r="K32" s="49"/>
    </x:row>
    <x:row r="33" ht="43.5" customHeight="1">
      <x:c r="A33" s="50" t="str">
        <x:v>HOME-02 Display and open multiple ongoing trips from the home screen.</x:v>
      </x:c>
      <x:c r="B33" s="51" t="str">
        <x:v>Every ongoing trip appears in the ongoing section. Opening one uses that trip's data and activates today's day tab when today falls within its dates.</x:v>
      </x:c>
      <x:c r="C33" s="52" t="str">
        <x:v>P0</x:v>
      </x:c>
      <x:c r="D33" s="51" t="str">
        <x:v>iOS and Android</x:v>
      </x:c>
      <x:c r="E33" s="51" t="str">
        <x:v>At least two ongoing trips whose date ranges include today.</x:v>
      </x:c>
      <x:c r="F33" s="56" t="s">
        <x:v>16</x:v>
      </x:c>
      <x:c r="G33" s="54"/>
      <x:c r="H33" s="54"/>
      <x:c r="I33" s="54"/>
      <x:c r="J33" s="54"/>
      <x:c r="K33" s="55"/>
    </x:row>
    <x:row r="34" ht="43.5" customHeight="1">
      <x:c r="A34" s="50" t="s">
        <x:v>89</x:v>
      </x:c>
      <x:c r="B34" s="51" t="s">
        <x:v>90</x:v>
      </x:c>
      <x:c r="C34" s="52" t="s">
        <x:v>40</x:v>
      </x:c>
      <x:c r="D34" s="51" t="s">
        <x:v>33</x:v>
      </x:c>
      <x:c r="E34" s="51" t="s">
        <x:v>91</x:v>
      </x:c>
      <x:c r="F34" s="56" t="s">
        <x:v>16</x:v>
      </x:c>
      <x:c r="G34" s="54"/>
      <x:c r="H34" s="54"/>
      <x:c r="I34" s="54"/>
      <x:c r="J34" s="54"/>
      <x:c r="K34" s="55"/>
    </x:row>
    <x:row r="35" ht="43.5" customHeight="1">
      <x:c r="A35" s="50" t="s">
        <x:v>92</x:v>
      </x:c>
      <x:c r="B35" s="51" t="s">
        <x:v>93</x:v>
      </x:c>
      <x:c r="C35" s="52" t="s">
        <x:v>32</x:v>
      </x:c>
      <x:c r="D35" s="51" t="s">
        <x:v>33</x:v>
      </x:c>
      <x:c r="E35" s="51" t="s">
        <x:v>94</x:v>
      </x:c>
      <x:c r="F35" s="56" t="s">
        <x:v>16</x:v>
      </x:c>
      <x:c r="G35" s="54"/>
      <x:c r="H35" s="54"/>
      <x:c r="I35" s="54"/>
      <x:c r="J35" s="54"/>
      <x:c r="K35" s="55"/>
    </x:row>
    <x:row r="36" ht="43.5" customHeight="1">
      <x:c r="A36" s="50" t="s">
        <x:v>95</x:v>
      </x:c>
      <x:c r="B36" s="51" t="s">
        <x:v>96</x:v>
      </x:c>
      <x:c r="C36" s="52" t="s">
        <x:v>40</x:v>
      </x:c>
      <x:c r="D36" s="51" t="s">
        <x:v>33</x:v>
      </x:c>
      <x:c r="E36" s="51" t="s">
        <x:v>97</x:v>
      </x:c>
      <x:c r="F36" s="56" t="s">
        <x:v>16</x:v>
      </x:c>
      <x:c r="G36" s="54"/>
      <x:c r="H36" s="54"/>
      <x:c r="I36" s="54"/>
      <x:c r="J36" s="54"/>
      <x:c r="K36" s="55"/>
    </x:row>
    <x:row r="37" ht="43.5" customHeight="1">
      <x:c r="A37" s="50" t="s">
        <x:v>98</x:v>
      </x:c>
      <x:c r="B37" s="51" t="s">
        <x:v>99</x:v>
      </x:c>
      <x:c r="C37" s="52" t="s">
        <x:v>32</x:v>
      </x:c>
      <x:c r="D37" s="51" t="s">
        <x:v>33</x:v>
      </x:c>
      <x:c r="E37" s="51" t="s">
        <x:v>100</x:v>
      </x:c>
      <x:c r="F37" s="56" t="s">
        <x:v>16</x:v>
      </x:c>
      <x:c r="G37" s="54"/>
      <x:c r="H37" s="54"/>
      <x:c r="I37" s="54"/>
      <x:c r="J37" s="54"/>
      <x:c r="K37" s="55"/>
    </x:row>
    <x:row r="38" ht="43.5" customHeight="1">
      <x:c r="A38" s="57" t="s">
        <x:v>101</x:v>
      </x:c>
      <x:c r="B38" s="58" t="s">
        <x:v>102</x:v>
      </x:c>
      <x:c r="C38" s="59" t="s">
        <x:v>40</x:v>
      </x:c>
      <x:c r="D38" s="58" t="s">
        <x:v>103</x:v>
      </x:c>
      <x:c r="E38" s="58" t="s">
        <x:v>104</x:v>
      </x:c>
      <x:c r="F38" s="64" t="s">
        <x:v>16</x:v>
      </x:c>
      <x:c r="G38" s="60"/>
      <x:c r="H38" s="60"/>
      <x:c r="I38" s="60"/>
      <x:c r="J38" s="60"/>
      <x:c r="K38" s="61"/>
    </x:row>
    <x:row r="39" ht="19.5" customHeight="1">
      <x:c r="A39" s="40" t="s">
        <x:v>105</x:v>
      </x:c>
      <x:c r="B39" s="41"/>
      <x:c r="C39" s="42"/>
      <x:c r="D39" s="41"/>
      <x:c r="E39" s="41"/>
      <x:c r="F39" s="41"/>
      <x:c r="G39" s="41"/>
      <x:c r="H39" s="41"/>
      <x:c r="I39" s="41"/>
      <x:c r="J39" s="41"/>
      <x:c r="K39" s="43"/>
    </x:row>
    <x:row r="40" ht="43.5" customHeight="1">
      <x:c r="A40" s="44" t="s">
        <x:v>106</x:v>
      </x:c>
      <x:c r="B40" s="45" t="s">
        <x:v>107</x:v>
      </x:c>
      <x:c r="C40" s="46" t="s">
        <x:v>32</x:v>
      </x:c>
      <x:c r="D40" s="45" t="s">
        <x:v>33</x:v>
      </x:c>
      <x:c r="E40" s="45" t="s">
        <x:v>108</x:v>
      </x:c>
      <x:c r="F40" s="47" t="s">
        <x:v>16</x:v>
      </x:c>
      <x:c r="G40" s="48"/>
      <x:c r="H40" s="48"/>
      <x:c r="I40" s="48"/>
      <x:c r="J40" s="48"/>
      <x:c r="K40" s="49"/>
    </x:row>
    <x:row r="41" ht="57.650001525878906" customHeight="1">
      <x:c r="A41" s="50" t="str">
        <x:v>TRIP-02 Create or edit trips at the 120-day boundary and beyond it.</x:v>
      </x:c>
      <x:c r="B41" s="51" t="str">
        <x:v>Valid ranges up to 120 days save. A 121-day or reversed range is blocked with a clear validation message.</x:v>
      </x:c>
      <x:c r="C41" s="52" t="str">
        <x:v>P0</x:v>
      </x:c>
      <x:c r="D41" s="51" t="str">
        <x:v>iOS and Android</x:v>
      </x:c>
      <x:c r="E41" s="51" t="str">
        <x:v>Owner account; test 120-day, 121-day and reversed ranges.</x:v>
      </x:c>
      <x:c r="F41" s="65" t="s">
        <x:v>109</x:v>
      </x:c>
      <x:c r="G41" s="54"/>
      <x:c r="H41" s="54"/>
      <x:c r="I41" s="54"/>
      <x:c r="J41" s="54"/>
      <x:c r="K41" s="55"/>
    </x:row>
    <x:row r="42" ht="43.5" customHeight="1">
      <x:c r="A42" s="50" t="s">
        <x:v>110</x:v>
      </x:c>
      <x:c r="B42" s="51" t="s">
        <x:v>111</x:v>
      </x:c>
      <x:c r="C42" s="52" t="s">
        <x:v>32</x:v>
      </x:c>
      <x:c r="D42" s="51" t="s">
        <x:v>112</x:v>
      </x:c>
      <x:c r="E42" s="51" t="s">
        <x:v>113</x:v>
      </x:c>
      <x:c r="F42" s="51" t="s">
        <x:v>16</x:v>
      </x:c>
      <x:c r="G42" s="54"/>
      <x:c r="H42" s="54"/>
      <x:c r="I42" s="54"/>
      <x:c r="J42" s="54"/>
      <x:c r="K42" s="55"/>
    </x:row>
    <x:row r="43" ht="43.5" customHeight="1">
      <x:c r="A43" s="50" t="s">
        <x:v>114</x:v>
      </x:c>
      <x:c r="B43" s="51" t="s">
        <x:v>115</x:v>
      </x:c>
      <x:c r="C43" s="52" t="s">
        <x:v>32</x:v>
      </x:c>
      <x:c r="D43" s="51" t="s">
        <x:v>116</x:v>
      </x:c>
      <x:c r="E43" s="51" t="s">
        <x:v>117</x:v>
      </x:c>
      <x:c r="F43" s="51" t="s">
        <x:v>16</x:v>
      </x:c>
      <x:c r="G43" s="54"/>
      <x:c r="H43" s="54"/>
      <x:c r="I43" s="54"/>
      <x:c r="J43" s="54"/>
      <x:c r="K43" s="55"/>
    </x:row>
    <x:row r="44" ht="43.5" customHeight="1">
      <x:c r="A44" s="50" t="s">
        <x:v>118</x:v>
      </x:c>
      <x:c r="B44" s="51" t="s">
        <x:v>119</x:v>
      </x:c>
      <x:c r="C44" s="52" t="s">
        <x:v>32</x:v>
      </x:c>
      <x:c r="D44" s="51" t="s">
        <x:v>112</x:v>
      </x:c>
      <x:c r="E44" s="51" t="s">
        <x:v>120</x:v>
      </x:c>
      <x:c r="F44" s="54"/>
      <x:c r="G44" s="54"/>
      <x:c r="H44" s="54"/>
      <x:c r="I44" s="54"/>
      <x:c r="J44" s="54"/>
      <x:c r="K44" s="55"/>
    </x:row>
    <x:row r="45" ht="43.5" customHeight="1">
      <x:c r="A45" s="50" t="s">
        <x:v>121</x:v>
      </x:c>
      <x:c r="B45" s="51" t="s">
        <x:v>122</x:v>
      </x:c>
      <x:c r="C45" s="52" t="s">
        <x:v>40</x:v>
      </x:c>
      <x:c r="D45" s="51" t="s">
        <x:v>33</x:v>
      </x:c>
      <x:c r="E45" s="51" t="s">
        <x:v>123</x:v>
      </x:c>
      <x:c r="F45" s="51" t="s">
        <x:v>16</x:v>
      </x:c>
      <x:c r="G45" s="54"/>
      <x:c r="H45" s="54"/>
      <x:c r="I45" s="54"/>
      <x:c r="J45" s="54"/>
      <x:c r="K45" s="55"/>
    </x:row>
    <x:row r="46" ht="43.5" customHeight="1">
      <x:c r="A46" s="50" t="s">
        <x:v>124</x:v>
      </x:c>
      <x:c r="B46" s="51" t="s">
        <x:v>125</x:v>
      </x:c>
      <x:c r="C46" s="52" t="s">
        <x:v>32</x:v>
      </x:c>
      <x:c r="D46" s="51" t="s">
        <x:v>112</x:v>
      </x:c>
      <x:c r="E46" s="51" t="s">
        <x:v>126</x:v>
      </x:c>
      <x:c r="F46" s="51" t="s">
        <x:v>16</x:v>
      </x:c>
      <x:c r="G46" s="54"/>
      <x:c r="H46" s="54"/>
      <x:c r="I46" s="54"/>
      <x:c r="J46" s="54"/>
      <x:c r="K46" s="55"/>
    </x:row>
    <x:row r="47" ht="43.5" customHeight="1">
      <x:c r="A47" s="50" t="s">
        <x:v>127</x:v>
      </x:c>
      <x:c r="B47" s="51" t="s">
        <x:v>128</x:v>
      </x:c>
      <x:c r="C47" s="52" t="s">
        <x:v>32</x:v>
      </x:c>
      <x:c r="D47" s="51" t="s">
        <x:v>33</x:v>
      </x:c>
      <x:c r="E47" s="51" t="s">
        <x:v>129</x:v>
      </x:c>
      <x:c r="F47" s="54"/>
      <x:c r="G47" s="54"/>
      <x:c r="H47" s="54"/>
      <x:c r="I47" s="54"/>
      <x:c r="J47" s="54"/>
      <x:c r="K47" s="55"/>
    </x:row>
    <x:row r="48" ht="43.5" customHeight="1">
      <x:c r="A48" s="50" t="s">
        <x:v>130</x:v>
      </x:c>
      <x:c r="B48" s="51" t="s">
        <x:v>131</x:v>
      </x:c>
      <x:c r="C48" s="52" t="s">
        <x:v>32</x:v>
      </x:c>
      <x:c r="D48" s="51" t="s">
        <x:v>132</x:v>
      </x:c>
      <x:c r="E48" s="51" t="s">
        <x:v>133</x:v>
      </x:c>
      <x:c r="F48" s="54"/>
      <x:c r="G48" s="54"/>
      <x:c r="H48" s="54"/>
      <x:c r="I48" s="54"/>
      <x:c r="J48" s="54"/>
      <x:c r="K48" s="55"/>
    </x:row>
    <x:row r="49" ht="43.5" customHeight="1">
      <x:c r="A49" s="50" t="s">
        <x:v>134</x:v>
      </x:c>
      <x:c r="B49" s="51" t="s">
        <x:v>135</x:v>
      </x:c>
      <x:c r="C49" s="52" t="s">
        <x:v>40</x:v>
      </x:c>
      <x:c r="D49" s="51" t="s">
        <x:v>33</x:v>
      </x:c>
      <x:c r="E49" s="51" t="s">
        <x:v>136</x:v>
      </x:c>
      <x:c r="F49" s="54"/>
      <x:c r="G49" s="54"/>
      <x:c r="H49" s="54"/>
      <x:c r="I49" s="54"/>
      <x:c r="J49" s="54"/>
      <x:c r="K49" s="55"/>
    </x:row>
    <x:row r="50" ht="43.5" customHeight="1">
      <x:c r="A50" s="50" t="s">
        <x:v>137</x:v>
      </x:c>
      <x:c r="B50" s="51" t="s">
        <x:v>138</x:v>
      </x:c>
      <x:c r="C50" s="52" t="s">
        <x:v>32</x:v>
      </x:c>
      <x:c r="D50" s="51" t="s">
        <x:v>33</x:v>
      </x:c>
      <x:c r="E50" s="51" t="s">
        <x:v>139</x:v>
      </x:c>
      <x:c r="F50" s="54"/>
      <x:c r="G50" s="54"/>
      <x:c r="H50" s="54"/>
      <x:c r="I50" s="54"/>
      <x:c r="J50" s="54"/>
      <x:c r="K50" s="55"/>
    </x:row>
    <x:row r="51" ht="43.5" customHeight="1">
      <x:c r="A51" s="57" t="s">
        <x:v>140</x:v>
      </x:c>
      <x:c r="B51" s="58" t="s">
        <x:v>141</x:v>
      </x:c>
      <x:c r="C51" s="59" t="s">
        <x:v>32</x:v>
      </x:c>
      <x:c r="D51" s="58" t="s">
        <x:v>33</x:v>
      </x:c>
      <x:c r="E51" s="58" t="s">
        <x:v>142</x:v>
      </x:c>
      <x:c r="F51" s="60"/>
      <x:c r="G51" s="60"/>
      <x:c r="H51" s="60"/>
      <x:c r="I51" s="60"/>
      <x:c r="J51" s="60"/>
      <x:c r="K51" s="61"/>
    </x:row>
    <x:row r="52" ht="19.5" customHeight="1">
      <x:c r="A52" s="40" t="s">
        <x:v>143</x:v>
      </x:c>
      <x:c r="B52" s="41"/>
      <x:c r="C52" s="42"/>
      <x:c r="D52" s="41"/>
      <x:c r="E52" s="41"/>
      <x:c r="F52" s="41"/>
      <x:c r="G52" s="41"/>
      <x:c r="H52" s="41"/>
      <x:c r="I52" s="41"/>
      <x:c r="J52" s="41"/>
      <x:c r="K52" s="43"/>
    </x:row>
    <x:row r="53" ht="43.5" customHeight="1">
      <x:c r="A53" s="44" t="s">
        <x:v>144</x:v>
      </x:c>
      <x:c r="B53" s="45" t="s">
        <x:v>145</x:v>
      </x:c>
      <x:c r="C53" s="46" t="s">
        <x:v>32</x:v>
      </x:c>
      <x:c r="D53" s="45" t="s">
        <x:v>33</x:v>
      </x:c>
      <x:c r="E53" s="45" t="s">
        <x:v>146</x:v>
      </x:c>
      <x:c r="F53" s="45" t="s">
        <x:v>16</x:v>
      </x:c>
      <x:c r="G53" s="48"/>
      <x:c r="H53" s="48"/>
      <x:c r="I53" s="48"/>
      <x:c r="J53" s="48"/>
      <x:c r="K53" s="49"/>
    </x:row>
    <x:row r="54" ht="43.5" customHeight="1">
      <x:c r="A54" s="50" t="s">
        <x:v>147</x:v>
      </x:c>
      <x:c r="B54" s="51" t="s">
        <x:v>148</x:v>
      </x:c>
      <x:c r="C54" s="52" t="s">
        <x:v>40</x:v>
      </x:c>
      <x:c r="D54" s="51" t="s">
        <x:v>33</x:v>
      </x:c>
      <x:c r="E54" s="51" t="s">
        <x:v>149</x:v>
      </x:c>
      <x:c r="F54" s="51" t="s">
        <x:v>16</x:v>
      </x:c>
      <x:c r="G54" s="54"/>
      <x:c r="H54" s="54"/>
      <x:c r="I54" s="54"/>
      <x:c r="J54" s="54"/>
      <x:c r="K54" s="55"/>
    </x:row>
    <x:row r="55" ht="43.5" customHeight="1">
      <x:c r="A55" s="50" t="s">
        <x:v>150</x:v>
      </x:c>
      <x:c r="B55" s="51" t="s">
        <x:v>151</x:v>
      </x:c>
      <x:c r="C55" s="52" t="s">
        <x:v>32</x:v>
      </x:c>
      <x:c r="D55" s="51" t="s">
        <x:v>33</x:v>
      </x:c>
      <x:c r="E55" s="51" t="s">
        <x:v>152</x:v>
      </x:c>
      <x:c r="F55" s="51" t="s">
        <x:v>16</x:v>
      </x:c>
      <x:c r="G55" s="54"/>
      <x:c r="H55" s="54"/>
      <x:c r="I55" s="54"/>
      <x:c r="J55" s="54"/>
      <x:c r="K55" s="55"/>
    </x:row>
    <x:row r="56" ht="43.5" customHeight="1">
      <x:c r="A56" s="50" t="s">
        <x:v>153</x:v>
      </x:c>
      <x:c r="B56" s="51" t="s">
        <x:v>154</x:v>
      </x:c>
      <x:c r="C56" s="52" t="s">
        <x:v>32</x:v>
      </x:c>
      <x:c r="D56" s="51" t="s">
        <x:v>112</x:v>
      </x:c>
      <x:c r="E56" s="51" t="s">
        <x:v>155</x:v>
      </x:c>
      <x:c r="F56" s="51" t="s">
        <x:v>16</x:v>
      </x:c>
      <x:c r="G56" s="54"/>
      <x:c r="H56" s="54"/>
      <x:c r="I56" s="54"/>
      <x:c r="J56" s="54"/>
      <x:c r="K56" s="55"/>
    </x:row>
    <x:row r="57" ht="43.5" customHeight="1">
      <x:c r="A57" s="50" t="s">
        <x:v>156</x:v>
      </x:c>
      <x:c r="B57" s="51" t="s">
        <x:v>157</x:v>
      </x:c>
      <x:c r="C57" s="52" t="s">
        <x:v>32</x:v>
      </x:c>
      <x:c r="D57" s="51" t="s">
        <x:v>33</x:v>
      </x:c>
      <x:c r="E57" s="51" t="s">
        <x:v>158</x:v>
      </x:c>
      <x:c r="F57" s="51" t="s">
        <x:v>16</x:v>
      </x:c>
      <x:c r="G57" s="54"/>
      <x:c r="H57" s="54"/>
      <x:c r="I57" s="54"/>
      <x:c r="J57" s="54"/>
      <x:c r="K57" s="55"/>
    </x:row>
    <x:row r="58" ht="43.5" customHeight="1">
      <x:c r="A58" s="50" t="s">
        <x:v>159</x:v>
      </x:c>
      <x:c r="B58" s="51" t="s">
        <x:v>160</x:v>
      </x:c>
      <x:c r="C58" s="52" t="s">
        <x:v>40</x:v>
      </x:c>
      <x:c r="D58" s="51" t="s">
        <x:v>33</x:v>
      </x:c>
      <x:c r="E58" s="51" t="s">
        <x:v>161</x:v>
      </x:c>
      <x:c r="F58" s="51" t="s">
        <x:v>16</x:v>
      </x:c>
      <x:c r="G58" s="54"/>
      <x:c r="H58" s="54"/>
      <x:c r="I58" s="54"/>
      <x:c r="J58" s="54"/>
      <x:c r="K58" s="55"/>
    </x:row>
    <x:row r="59" ht="43.5" customHeight="1">
      <x:c r="A59" s="50" t="s">
        <x:v>162</x:v>
      </x:c>
      <x:c r="B59" s="51" t="s">
        <x:v>163</x:v>
      </x:c>
      <x:c r="C59" s="52" t="s">
        <x:v>40</x:v>
      </x:c>
      <x:c r="D59" s="51" t="s">
        <x:v>33</x:v>
      </x:c>
      <x:c r="E59" s="51" t="s">
        <x:v>164</x:v>
      </x:c>
      <x:c r="F59" s="51" t="s">
        <x:v>16</x:v>
      </x:c>
      <x:c r="G59" s="54"/>
      <x:c r="H59" s="54"/>
      <x:c r="I59" s="54"/>
      <x:c r="J59" s="54"/>
      <x:c r="K59" s="55"/>
    </x:row>
    <x:row r="60" ht="57.650001525878906" customHeight="1">
      <x:c r="A60" s="50" t="str">
        <x:v>PIN-08 Create personal and trip checklist items, then refresh the shared trip on a companion device.</x:v>
      </x:c>
      <x:c r="B60" s="51" t="str">
        <x:v>My Checklist contains only the current user's private items. Trip Checklist contains shared items only. Private items never appear to companions; active companions can complete or delete shared items. The FAB label and new-item dialog follow the active tab.</x:v>
      </x:c>
      <x:c r="C60" s="52" t="str">
        <x:v>P0</x:v>
      </x:c>
      <x:c r="D60" s="51" t="str">
        <x:v>Two physical devices</x:v>
      </x:c>
      <x:c r="E60" s="51" t="str">
        <x:v>Two active companions; create one item from each checklist tab.</x:v>
      </x:c>
      <x:c r="F60" s="51" t="s">
        <x:v>165</x:v>
      </x:c>
      <x:c r="G60" s="54"/>
      <x:c r="H60" s="54"/>
      <x:c r="I60" s="54"/>
      <x:c r="J60" s="54"/>
      <x:c r="K60" s="55"/>
    </x:row>
    <x:row r="61" ht="43.5" customHeight="1">
      <x:c r="A61" s="50" t="s">
        <x:v>166</x:v>
      </x:c>
      <x:c r="B61" s="51" t="s">
        <x:v>167</x:v>
      </x:c>
      <x:c r="C61" s="52" t="s">
        <x:v>40</x:v>
      </x:c>
      <x:c r="D61" s="51" t="s">
        <x:v>33</x:v>
      </x:c>
      <x:c r="E61" s="51" t="s">
        <x:v>168</x:v>
      </x:c>
      <x:c r="F61" s="51" t="s">
        <x:v>16</x:v>
      </x:c>
      <x:c r="G61" s="54"/>
      <x:c r="H61" s="54"/>
      <x:c r="I61" s="54"/>
      <x:c r="J61" s="54"/>
      <x:c r="K61" s="55"/>
    </x:row>
    <x:row r="62" ht="43.5" customHeight="1">
      <x:c r="A62" s="57" t="s">
        <x:v>169</x:v>
      </x:c>
      <x:c r="B62" s="58" t="s">
        <x:v>170</x:v>
      </x:c>
      <x:c r="C62" s="59" t="s">
        <x:v>171</x:v>
      </x:c>
      <x:c r="D62" s="58" t="s">
        <x:v>33</x:v>
      </x:c>
      <x:c r="E62" s="58" t="s">
        <x:v>172</x:v>
      </x:c>
      <x:c r="F62" s="58" t="s">
        <x:v>16</x:v>
      </x:c>
      <x:c r="G62" s="60"/>
      <x:c r="H62" s="60"/>
      <x:c r="I62" s="60"/>
      <x:c r="J62" s="60"/>
      <x:c r="K62" s="61"/>
    </x:row>
    <x:row r="63" ht="19.5" customHeight="1">
      <x:c r="A63" s="40" t="s">
        <x:v>173</x:v>
      </x:c>
      <x:c r="B63" s="41"/>
      <x:c r="C63" s="42"/>
      <x:c r="D63" s="41"/>
      <x:c r="E63" s="41"/>
      <x:c r="F63" s="41"/>
      <x:c r="G63" s="41"/>
      <x:c r="H63" s="41"/>
      <x:c r="I63" s="41"/>
      <x:c r="J63" s="41"/>
      <x:c r="K63" s="43"/>
    </x:row>
    <x:row r="64" ht="43.5" customHeight="1">
      <x:c r="A64" s="44" t="s">
        <x:v>174</x:v>
      </x:c>
      <x:c r="B64" s="45" t="s">
        <x:v>175</x:v>
      </x:c>
      <x:c r="C64" s="46" t="s">
        <x:v>32</x:v>
      </x:c>
      <x:c r="D64" s="45" t="s">
        <x:v>33</x:v>
      </x:c>
      <x:c r="E64" s="45" t="s">
        <x:v>176</x:v>
      </x:c>
      <x:c r="F64" s="45" t="s">
        <x:v>16</x:v>
      </x:c>
      <x:c r="G64" s="48"/>
      <x:c r="H64" s="48"/>
      <x:c r="I64" s="48"/>
      <x:c r="J64" s="48"/>
      <x:c r="K64" s="49"/>
    </x:row>
    <x:row r="65" ht="43.5" customHeight="1">
      <x:c r="A65" s="50" t="s">
        <x:v>177</x:v>
      </x:c>
      <x:c r="B65" s="51" t="s">
        <x:v>178</x:v>
      </x:c>
      <x:c r="C65" s="52" t="s">
        <x:v>40</x:v>
      </x:c>
      <x:c r="D65" s="51" t="s">
        <x:v>33</x:v>
      </x:c>
      <x:c r="E65" s="51" t="s">
        <x:v>179</x:v>
      </x:c>
      <x:c r="F65" s="51" t="s">
        <x:v>16</x:v>
      </x:c>
      <x:c r="G65" s="54"/>
      <x:c r="H65" s="54"/>
      <x:c r="I65" s="54"/>
      <x:c r="J65" s="54"/>
      <x:c r="K65" s="55"/>
    </x:row>
    <x:row r="66" ht="43.5" customHeight="1">
      <x:c r="A66" s="50" t="s">
        <x:v>180</x:v>
      </x:c>
      <x:c r="B66" s="51" t="s">
        <x:v>181</x:v>
      </x:c>
      <x:c r="C66" s="52" t="s">
        <x:v>40</x:v>
      </x:c>
      <x:c r="D66" s="51" t="s">
        <x:v>103</x:v>
      </x:c>
      <x:c r="E66" s="51" t="s">
        <x:v>179</x:v>
      </x:c>
      <x:c r="F66" s="51" t="s">
        <x:v>16</x:v>
      </x:c>
      <x:c r="G66" s="54"/>
      <x:c r="H66" s="54"/>
      <x:c r="I66" s="54"/>
      <x:c r="J66" s="54"/>
      <x:c r="K66" s="55"/>
    </x:row>
    <x:row r="67" ht="43.5" customHeight="1">
      <x:c r="A67" s="50" t="s">
        <x:v>182</x:v>
      </x:c>
      <x:c r="B67" s="51" t="s">
        <x:v>183</x:v>
      </x:c>
      <x:c r="C67" s="52" t="s">
        <x:v>32</x:v>
      </x:c>
      <x:c r="D67" s="51" t="s">
        <x:v>33</x:v>
      </x:c>
      <x:c r="E67" s="51" t="s">
        <x:v>179</x:v>
      </x:c>
      <x:c r="F67" s="51" t="s">
        <x:v>16</x:v>
      </x:c>
      <x:c r="G67" s="54"/>
      <x:c r="H67" s="54"/>
      <x:c r="I67" s="54"/>
      <x:c r="J67" s="54"/>
      <x:c r="K67" s="55"/>
    </x:row>
    <x:row r="68" ht="24.649999618530273" customHeight="1">
      <x:c r="A68" s="50" t="s">
        <x:v>184</x:v>
      </x:c>
      <x:c r="B68" s="51" t="s">
        <x:v>185</x:v>
      </x:c>
      <x:c r="C68" s="52" t="s">
        <x:v>40</x:v>
      </x:c>
      <x:c r="D68" s="51" t="s">
        <x:v>33</x:v>
      </x:c>
      <x:c r="E68" s="51" t="s">
        <x:v>179</x:v>
      </x:c>
      <x:c r="F68" s="51" t="s">
        <x:v>76</x:v>
      </x:c>
      <x:c r="G68" s="54"/>
      <x:c r="H68" s="54"/>
      <x:c r="I68" s="54"/>
      <x:c r="J68" s="54"/>
      <x:c r="K68" s="55"/>
    </x:row>
    <x:row r="69" ht="43.5" customHeight="1">
      <x:c r="A69" s="50" t="s">
        <x:v>186</x:v>
      </x:c>
      <x:c r="B69" s="51" t="s">
        <x:v>187</x:v>
      </x:c>
      <x:c r="C69" s="52" t="s">
        <x:v>40</x:v>
      </x:c>
      <x:c r="D69" s="51" t="s">
        <x:v>33</x:v>
      </x:c>
      <x:c r="E69" s="51" t="s">
        <x:v>188</x:v>
      </x:c>
      <x:c r="F69" s="51" t="s">
        <x:v>16</x:v>
      </x:c>
      <x:c r="G69" s="54"/>
      <x:c r="H69" s="54"/>
      <x:c r="I69" s="54"/>
      <x:c r="J69" s="54"/>
      <x:c r="K69" s="55"/>
    </x:row>
    <x:row r="70" ht="43.5" customHeight="1">
      <x:c r="A70" s="50" t="s">
        <x:v>189</x:v>
      </x:c>
      <x:c r="B70" s="51" t="s">
        <x:v>190</x:v>
      </x:c>
      <x:c r="C70" s="52" t="s">
        <x:v>32</x:v>
      </x:c>
      <x:c r="D70" s="51" t="s">
        <x:v>33</x:v>
      </x:c>
      <x:c r="E70" s="51" t="s">
        <x:v>191</x:v>
      </x:c>
      <x:c r="F70" s="51" t="s">
        <x:v>16</x:v>
      </x:c>
      <x:c r="G70" s="54"/>
      <x:c r="H70" s="54"/>
      <x:c r="I70" s="54"/>
      <x:c r="J70" s="54"/>
      <x:c r="K70" s="55"/>
    </x:row>
    <x:row r="71" ht="57.650001525878906" customHeight="1">
      <x:c r="A71" s="50" t="s">
        <x:v>192</x:v>
      </x:c>
      <x:c r="B71" s="51" t="s">
        <x:v>193</x:v>
      </x:c>
      <x:c r="C71" s="52" t="s">
        <x:v>32</x:v>
      </x:c>
      <x:c r="D71" s="51" t="s">
        <x:v>33</x:v>
      </x:c>
      <x:c r="E71" s="51" t="s">
        <x:v>194</x:v>
      </x:c>
      <x:c r="F71" s="51" t="s">
        <x:v>195</x:v>
      </x:c>
      <x:c r="G71" s="54"/>
      <x:c r="H71" s="54"/>
      <x:c r="I71" s="54"/>
      <x:c r="J71" s="54"/>
      <x:c r="K71" s="55"/>
    </x:row>
    <x:row r="72" ht="43.5" customHeight="1">
      <x:c r="A72" s="50" t="s">
        <x:v>196</x:v>
      </x:c>
      <x:c r="B72" s="51" t="s">
        <x:v>197</x:v>
      </x:c>
      <x:c r="C72" s="52" t="s">
        <x:v>32</x:v>
      </x:c>
      <x:c r="D72" s="51" t="s">
        <x:v>33</x:v>
      </x:c>
      <x:c r="E72" s="51" t="s">
        <x:v>198</x:v>
      </x:c>
      <x:c r="F72" s="51" t="s">
        <x:v>16</x:v>
      </x:c>
      <x:c r="G72" s="54"/>
      <x:c r="H72" s="54"/>
      <x:c r="I72" s="54"/>
      <x:c r="J72" s="54"/>
      <x:c r="K72" s="55"/>
    </x:row>
    <x:row r="73" ht="43.5" customHeight="1">
      <x:c r="A73" s="50" t="s">
        <x:v>199</x:v>
      </x:c>
      <x:c r="B73" s="51" t="s">
        <x:v>200</x:v>
      </x:c>
      <x:c r="C73" s="52" t="s">
        <x:v>32</x:v>
      </x:c>
      <x:c r="D73" s="51" t="s">
        <x:v>33</x:v>
      </x:c>
      <x:c r="E73" s="51" t="s">
        <x:v>198</x:v>
      </x:c>
      <x:c r="F73" s="51" t="s">
        <x:v>16</x:v>
      </x:c>
      <x:c r="G73" s="54"/>
      <x:c r="H73" s="54"/>
      <x:c r="I73" s="54"/>
      <x:c r="J73" s="54"/>
      <x:c r="K73" s="55"/>
    </x:row>
    <x:row r="74" ht="43.5" customHeight="1">
      <x:c r="A74" s="50" t="s">
        <x:v>201</x:v>
      </x:c>
      <x:c r="B74" s="51" t="s">
        <x:v>202</x:v>
      </x:c>
      <x:c r="C74" s="52" t="s">
        <x:v>40</x:v>
      </x:c>
      <x:c r="D74" s="51" t="s">
        <x:v>33</x:v>
      </x:c>
      <x:c r="E74" s="51" t="s">
        <x:v>203</x:v>
      </x:c>
      <x:c r="F74" s="54"/>
      <x:c r="G74" s="54"/>
      <x:c r="H74" s="54"/>
      <x:c r="I74" s="54"/>
      <x:c r="J74" s="54"/>
      <x:c r="K74" s="55"/>
    </x:row>
    <x:row r="75" ht="43.5" customHeight="1">
      <x:c r="A75" s="50" t="s">
        <x:v>204</x:v>
      </x:c>
      <x:c r="B75" s="51" t="s">
        <x:v>205</x:v>
      </x:c>
      <x:c r="C75" s="52" t="s">
        <x:v>32</x:v>
      </x:c>
      <x:c r="D75" s="51" t="s">
        <x:v>103</x:v>
      </x:c>
      <x:c r="E75" s="51" t="s">
        <x:v>206</x:v>
      </x:c>
      <x:c r="F75" s="51" t="s">
        <x:v>76</x:v>
      </x:c>
      <x:c r="G75" s="54"/>
      <x:c r="H75" s="54"/>
      <x:c r="I75" s="54"/>
      <x:c r="J75" s="54"/>
      <x:c r="K75" s="55"/>
    </x:row>
    <x:row r="76" ht="43.5" customHeight="1">
      <x:c r="A76" s="50" t="str">
        <x:v>AI-13 Use individual checkboxes and the itinerary and checklist Select all and Deselect all controls.</x:v>
      </x:c>
      <x:c r="B76" s="51" t="str">
        <x:v>All suggestions start selected. Square checkboxes and counts update immediately; each bulk control affects only its own section, and the chosen subset is preserved until import.</x:v>
      </x:c>
      <x:c r="C76" s="52" t="str">
        <x:v>P1</x:v>
      </x:c>
      <x:c r="D76" s="51" t="str">
        <x:v>iOS and Android</x:v>
      </x:c>
      <x:c r="E76" s="51" t="str">
        <x:v>Completed draft with multiple itinerary and checklist suggestions.</x:v>
      </x:c>
      <x:c r="F76" s="51" t="s">
        <x:v>207</x:v>
      </x:c>
      <x:c r="G76" s="54"/>
      <x:c r="H76" s="54"/>
      <x:c r="I76" s="54"/>
      <x:c r="J76" s="54"/>
      <x:c r="K76" s="55"/>
    </x:row>
    <x:row r="77" ht="43.5" customHeight="1">
      <x:c r="A77" s="50" t="s">
        <x:v>208</x:v>
      </x:c>
      <x:c r="B77" s="51" t="s">
        <x:v>209</x:v>
      </x:c>
      <x:c r="C77" s="52" t="s">
        <x:v>32</x:v>
      </x:c>
      <x:c r="D77" s="51" t="s">
        <x:v>33</x:v>
      </x:c>
      <x:c r="E77" s="51" t="s">
        <x:v>210</x:v>
      </x:c>
      <x:c r="F77" s="51" t="s">
        <x:v>16</x:v>
      </x:c>
      <x:c r="G77" s="54"/>
      <x:c r="H77" s="54"/>
      <x:c r="I77" s="54"/>
      <x:c r="J77" s="54"/>
      <x:c r="K77" s="55"/>
    </x:row>
    <x:row r="78" ht="35.650001525878906" customHeight="1">
      <x:c r="A78" s="57" t="s">
        <x:v>211</x:v>
      </x:c>
      <x:c r="B78" s="58" t="str">
        <x:v>One trip is created with the selected pins, locations, notes, links and checklist items; selected checklist suggestions appear in Trip Checklist as shared items, and repeated taps do not duplicate content.</x:v>
      </x:c>
      <x:c r="C78" s="59" t="s">
        <x:v>32</x:v>
      </x:c>
      <x:c r="D78" s="58" t="s">
        <x:v>33</x:v>
      </x:c>
      <x:c r="E78" s="58" t="s">
        <x:v>212</x:v>
      </x:c>
      <x:c r="F78" s="58" t="s">
        <x:v>76</x:v>
      </x:c>
      <x:c r="G78" s="60"/>
      <x:c r="H78" s="60"/>
      <x:c r="I78" s="60"/>
      <x:c r="J78" s="60"/>
      <x:c r="K78" s="61"/>
    </x:row>
    <x:row r="79" ht="19.5" customHeight="1">
      <x:c r="A79" s="40" t="s">
        <x:v>213</x:v>
      </x:c>
      <x:c r="B79" s="41"/>
      <x:c r="C79" s="42"/>
      <x:c r="D79" s="41"/>
      <x:c r="E79" s="41"/>
      <x:c r="F79" s="41"/>
      <x:c r="G79" s="41"/>
      <x:c r="H79" s="41"/>
      <x:c r="I79" s="41"/>
      <x:c r="J79" s="41"/>
      <x:c r="K79" s="43"/>
    </x:row>
    <x:row r="80" ht="43.5" customHeight="1">
      <x:c r="A80" s="44" t="s">
        <x:v>214</x:v>
      </x:c>
      <x:c r="B80" s="45" t="s">
        <x:v>215</x:v>
      </x:c>
      <x:c r="C80" s="46" t="s">
        <x:v>32</x:v>
      </x:c>
      <x:c r="D80" s="45" t="s">
        <x:v>33</x:v>
      </x:c>
      <x:c r="E80" s="45" t="s">
        <x:v>216</x:v>
      </x:c>
      <x:c r="F80" s="45" t="s">
        <x:v>16</x:v>
      </x:c>
      <x:c r="G80" s="48"/>
      <x:c r="H80" s="48"/>
      <x:c r="I80" s="48"/>
      <x:c r="J80" s="48"/>
      <x:c r="K80" s="49"/>
    </x:row>
    <x:row r="81" ht="43.5" customHeight="1">
      <x:c r="A81" s="50" t="s">
        <x:v>217</x:v>
      </x:c>
      <x:c r="B81" s="51" t="s">
        <x:v>218</x:v>
      </x:c>
      <x:c r="C81" s="52" t="s">
        <x:v>32</x:v>
      </x:c>
      <x:c r="D81" s="51" t="s">
        <x:v>33</x:v>
      </x:c>
      <x:c r="E81" s="51" t="s">
        <x:v>219</x:v>
      </x:c>
      <x:c r="F81" s="51" t="s">
        <x:v>16</x:v>
      </x:c>
      <x:c r="G81" s="54"/>
      <x:c r="H81" s="54"/>
      <x:c r="I81" s="54"/>
      <x:c r="J81" s="54"/>
      <x:c r="K81" s="55"/>
    </x:row>
    <x:row r="82" ht="43.5" customHeight="1">
      <x:c r="A82" s="50" t="s">
        <x:v>220</x:v>
      </x:c>
      <x:c r="B82" s="51" t="s">
        <x:v>221</x:v>
      </x:c>
      <x:c r="C82" s="52" t="s">
        <x:v>32</x:v>
      </x:c>
      <x:c r="D82" s="51" t="s">
        <x:v>33</x:v>
      </x:c>
      <x:c r="E82" s="51" t="s">
        <x:v>222</x:v>
      </x:c>
      <x:c r="F82" s="51" t="s">
        <x:v>16</x:v>
      </x:c>
      <x:c r="G82" s="54"/>
      <x:c r="H82" s="54"/>
      <x:c r="I82" s="54"/>
      <x:c r="J82" s="54"/>
      <x:c r="K82" s="55"/>
    </x:row>
    <x:row r="83" ht="43.5" customHeight="1">
      <x:c r="A83" s="50" t="s">
        <x:v>223</x:v>
      </x:c>
      <x:c r="B83" s="51" t="s">
        <x:v>224</x:v>
      </x:c>
      <x:c r="C83" s="52" t="s">
        <x:v>32</x:v>
      </x:c>
      <x:c r="D83" s="51" t="s">
        <x:v>33</x:v>
      </x:c>
      <x:c r="E83" s="51" t="s">
        <x:v>222</x:v>
      </x:c>
      <x:c r="F83" s="51" t="s">
        <x:v>16</x:v>
      </x:c>
      <x:c r="G83" s="54"/>
      <x:c r="H83" s="54"/>
      <x:c r="I83" s="54"/>
      <x:c r="J83" s="54"/>
      <x:c r="K83" s="55"/>
    </x:row>
    <x:row r="84" ht="43.5" customHeight="1">
      <x:c r="A84" s="50" t="s">
        <x:v>225</x:v>
      </x:c>
      <x:c r="B84" s="51" t="s">
        <x:v>226</x:v>
      </x:c>
      <x:c r="C84" s="52" t="s">
        <x:v>32</x:v>
      </x:c>
      <x:c r="D84" s="51" t="s">
        <x:v>33</x:v>
      </x:c>
      <x:c r="E84" s="51" t="s">
        <x:v>227</x:v>
      </x:c>
      <x:c r="F84" s="51" t="s">
        <x:v>16</x:v>
      </x:c>
      <x:c r="G84" s="54"/>
      <x:c r="H84" s="54"/>
      <x:c r="I84" s="54"/>
      <x:c r="J84" s="54"/>
      <x:c r="K84" s="55"/>
    </x:row>
    <x:row r="85" ht="43.5" customHeight="1">
      <x:c r="A85" s="50" t="s">
        <x:v>228</x:v>
      </x:c>
      <x:c r="B85" s="51" t="s">
        <x:v>229</x:v>
      </x:c>
      <x:c r="C85" s="52" t="s">
        <x:v>32</x:v>
      </x:c>
      <x:c r="D85" s="51" t="s">
        <x:v>33</x:v>
      </x:c>
      <x:c r="E85" s="51" t="s">
        <x:v>230</x:v>
      </x:c>
      <x:c r="F85" s="51" t="s">
        <x:v>16</x:v>
      </x:c>
      <x:c r="G85" s="54"/>
      <x:c r="H85" s="54"/>
      <x:c r="I85" s="54"/>
      <x:c r="J85" s="54"/>
      <x:c r="K85" s="55"/>
    </x:row>
    <x:row r="86" ht="43.5" customHeight="1">
      <x:c r="A86" s="50" t="s">
        <x:v>231</x:v>
      </x:c>
      <x:c r="B86" s="51" t="s">
        <x:v>232</x:v>
      </x:c>
      <x:c r="C86" s="52" t="s">
        <x:v>32</x:v>
      </x:c>
      <x:c r="D86" s="51" t="s">
        <x:v>33</x:v>
      </x:c>
      <x:c r="E86" s="51" t="s">
        <x:v>233</x:v>
      </x:c>
      <x:c r="F86" s="54"/>
      <x:c r="G86" s="54"/>
      <x:c r="H86" s="54"/>
      <x:c r="I86" s="54"/>
      <x:c r="J86" s="54"/>
      <x:c r="K86" s="55"/>
    </x:row>
    <x:row r="87" ht="43.5" customHeight="1">
      <x:c r="A87" s="57" t="s">
        <x:v>234</x:v>
      </x:c>
      <x:c r="B87" s="58" t="s">
        <x:v>235</x:v>
      </x:c>
      <x:c r="C87" s="59" t="s">
        <x:v>32</x:v>
      </x:c>
      <x:c r="D87" s="58" t="s">
        <x:v>112</x:v>
      </x:c>
      <x:c r="E87" s="58" t="s">
        <x:v>236</x:v>
      </x:c>
      <x:c r="F87" s="58" t="s">
        <x:v>16</x:v>
      </x:c>
      <x:c r="G87" s="60"/>
      <x:c r="H87" s="60"/>
      <x:c r="I87" s="60"/>
      <x:c r="J87" s="60"/>
      <x:c r="K87" s="61"/>
    </x:row>
    <x:row r="88" ht="19.5" customHeight="1">
      <x:c r="A88" s="40" t="s">
        <x:v>237</x:v>
      </x:c>
      <x:c r="B88" s="41"/>
      <x:c r="C88" s="42"/>
      <x:c r="D88" s="41"/>
      <x:c r="E88" s="41"/>
      <x:c r="F88" s="41"/>
      <x:c r="G88" s="41"/>
      <x:c r="H88" s="41"/>
      <x:c r="I88" s="41"/>
      <x:c r="J88" s="41"/>
      <x:c r="K88" s="43"/>
    </x:row>
    <x:row r="89" ht="43.5" customHeight="1">
      <x:c r="A89" s="44" t="s">
        <x:v>238</x:v>
      </x:c>
      <x:c r="B89" s="45" t="s">
        <x:v>239</x:v>
      </x:c>
      <x:c r="C89" s="46" t="s">
        <x:v>32</x:v>
      </x:c>
      <x:c r="D89" s="45" t="s">
        <x:v>116</x:v>
      </x:c>
      <x:c r="E89" s="45" t="s">
        <x:v>240</x:v>
      </x:c>
      <x:c r="F89" s="45" t="s">
        <x:v>16</x:v>
      </x:c>
      <x:c r="G89" s="48"/>
      <x:c r="H89" s="48"/>
      <x:c r="I89" s="48"/>
      <x:c r="J89" s="48"/>
      <x:c r="K89" s="49"/>
    </x:row>
    <x:row r="90" ht="43.5" customHeight="1">
      <x:c r="A90" s="50" t="s">
        <x:v>241</x:v>
      </x:c>
      <x:c r="B90" s="51" t="s">
        <x:v>242</x:v>
      </x:c>
      <x:c r="C90" s="52" t="s">
        <x:v>32</x:v>
      </x:c>
      <x:c r="D90" s="51" t="s">
        <x:v>112</x:v>
      </x:c>
      <x:c r="E90" s="51" t="s">
        <x:v>243</x:v>
      </x:c>
      <x:c r="F90" s="51" t="s">
        <x:v>16</x:v>
      </x:c>
      <x:c r="G90" s="54"/>
      <x:c r="H90" s="54"/>
      <x:c r="I90" s="54"/>
      <x:c r="J90" s="54"/>
      <x:c r="K90" s="55"/>
    </x:row>
    <x:row r="91" ht="43.5" customHeight="1">
      <x:c r="A91" s="50" t="s">
        <x:v>244</x:v>
      </x:c>
      <x:c r="B91" s="51" t="s">
        <x:v>245</x:v>
      </x:c>
      <x:c r="C91" s="52" t="s">
        <x:v>40</x:v>
      </x:c>
      <x:c r="D91" s="51" t="s">
        <x:v>116</x:v>
      </x:c>
      <x:c r="E91" s="51" t="s">
        <x:v>243</x:v>
      </x:c>
      <x:c r="F91" s="54"/>
      <x:c r="G91" s="54"/>
      <x:c r="H91" s="54"/>
      <x:c r="I91" s="54"/>
      <x:c r="J91" s="54"/>
      <x:c r="K91" s="55"/>
    </x:row>
    <x:row r="92" ht="43.5" customHeight="1">
      <x:c r="A92" s="50" t="s">
        <x:v>246</x:v>
      </x:c>
      <x:c r="B92" s="51" t="s">
        <x:v>247</x:v>
      </x:c>
      <x:c r="C92" s="52" t="s">
        <x:v>40</x:v>
      </x:c>
      <x:c r="D92" s="51" t="s">
        <x:v>116</x:v>
      </x:c>
      <x:c r="E92" s="51" t="s">
        <x:v>243</x:v>
      </x:c>
      <x:c r="F92" s="54"/>
      <x:c r="G92" s="54"/>
      <x:c r="H92" s="54"/>
      <x:c r="I92" s="54"/>
      <x:c r="J92" s="54"/>
      <x:c r="K92" s="55"/>
    </x:row>
    <x:row r="93" ht="43.5" customHeight="1">
      <x:c r="A93" s="50" t="s">
        <x:v>248</x:v>
      </x:c>
      <x:c r="B93" s="51" t="s">
        <x:v>249</x:v>
      </x:c>
      <x:c r="C93" s="52" t="s">
        <x:v>32</x:v>
      </x:c>
      <x:c r="D93" s="51" t="s">
        <x:v>112</x:v>
      </x:c>
      <x:c r="E93" s="51" t="s">
        <x:v>250</x:v>
      </x:c>
      <x:c r="F93" s="54"/>
      <x:c r="G93" s="54"/>
      <x:c r="H93" s="54"/>
      <x:c r="I93" s="54"/>
      <x:c r="J93" s="54"/>
      <x:c r="K93" s="55"/>
    </x:row>
    <x:row r="94" ht="43.5" customHeight="1">
      <x:c r="A94" s="50" t="s">
        <x:v>251</x:v>
      </x:c>
      <x:c r="B94" s="51" t="s">
        <x:v>252</x:v>
      </x:c>
      <x:c r="C94" s="52" t="s">
        <x:v>32</x:v>
      </x:c>
      <x:c r="D94" s="51" t="s">
        <x:v>253</x:v>
      </x:c>
      <x:c r="E94" s="51" t="s">
        <x:v>250</x:v>
      </x:c>
      <x:c r="F94" s="54"/>
      <x:c r="G94" s="54"/>
      <x:c r="H94" s="54"/>
      <x:c r="I94" s="54"/>
      <x:c r="J94" s="54"/>
      <x:c r="K94" s="55"/>
    </x:row>
    <x:row r="95" ht="43.5" customHeight="1">
      <x:c r="A95" s="50" t="s">
        <x:v>254</x:v>
      </x:c>
      <x:c r="B95" s="51" t="s">
        <x:v>255</x:v>
      </x:c>
      <x:c r="C95" s="52" t="s">
        <x:v>40</x:v>
      </x:c>
      <x:c r="D95" s="51" t="s">
        <x:v>256</x:v>
      </x:c>
      <x:c r="E95" s="51" t="s">
        <x:v>250</x:v>
      </x:c>
      <x:c r="F95" s="54"/>
      <x:c r="G95" s="54"/>
      <x:c r="H95" s="54"/>
      <x:c r="I95" s="54"/>
      <x:c r="J95" s="54"/>
      <x:c r="K95" s="55"/>
    </x:row>
    <x:row r="96" ht="43.5" customHeight="1">
      <x:c r="A96" s="50" t="s">
        <x:v>257</x:v>
      </x:c>
      <x:c r="B96" s="51" t="s">
        <x:v>258</x:v>
      </x:c>
      <x:c r="C96" s="52" t="s">
        <x:v>32</x:v>
      </x:c>
      <x:c r="D96" s="51" t="s">
        <x:v>112</x:v>
      </x:c>
      <x:c r="E96" s="51" t="s">
        <x:v>259</x:v>
      </x:c>
      <x:c r="F96" s="54"/>
      <x:c r="G96" s="54"/>
      <x:c r="H96" s="54"/>
      <x:c r="I96" s="54"/>
      <x:c r="J96" s="54"/>
      <x:c r="K96" s="55"/>
    </x:row>
    <x:row r="97" ht="43.5" customHeight="1">
      <x:c r="A97" s="50" t="s">
        <x:v>260</x:v>
      </x:c>
      <x:c r="B97" s="51" t="s">
        <x:v>261</x:v>
      </x:c>
      <x:c r="C97" s="52" t="s">
        <x:v>32</x:v>
      </x:c>
      <x:c r="D97" s="51" t="s">
        <x:v>112</x:v>
      </x:c>
      <x:c r="E97" s="51" t="s">
        <x:v>262</x:v>
      </x:c>
      <x:c r="F97" s="54"/>
      <x:c r="G97" s="54"/>
      <x:c r="H97" s="54"/>
      <x:c r="I97" s="54"/>
      <x:c r="J97" s="54"/>
      <x:c r="K97" s="55"/>
    </x:row>
    <x:row r="98" ht="43.5" customHeight="1">
      <x:c r="A98" s="50" t="s">
        <x:v>263</x:v>
      </x:c>
      <x:c r="B98" s="51" t="s">
        <x:v>264</x:v>
      </x:c>
      <x:c r="C98" s="52" t="s">
        <x:v>32</x:v>
      </x:c>
      <x:c r="D98" s="51" t="s">
        <x:v>112</x:v>
      </x:c>
      <x:c r="E98" s="51" t="s">
        <x:v>259</x:v>
      </x:c>
      <x:c r="F98" s="54"/>
      <x:c r="G98" s="54"/>
      <x:c r="H98" s="54"/>
      <x:c r="I98" s="54"/>
      <x:c r="J98" s="54"/>
      <x:c r="K98" s="55"/>
    </x:row>
    <x:row r="99" ht="43.5" customHeight="1">
      <x:c r="A99" s="50" t="s">
        <x:v>265</x:v>
      </x:c>
      <x:c r="B99" s="51" t="s">
        <x:v>266</x:v>
      </x:c>
      <x:c r="C99" s="52" t="s">
        <x:v>32</x:v>
      </x:c>
      <x:c r="D99" s="51" t="s">
        <x:v>112</x:v>
      </x:c>
      <x:c r="E99" s="51" t="s">
        <x:v>267</x:v>
      </x:c>
      <x:c r="F99" s="54"/>
      <x:c r="G99" s="54"/>
      <x:c r="H99" s="54"/>
      <x:c r="I99" s="54"/>
      <x:c r="J99" s="54"/>
      <x:c r="K99" s="55"/>
    </x:row>
    <x:row r="100" ht="43.5" customHeight="1">
      <x:c r="A100" s="57" t="s">
        <x:v>268</x:v>
      </x:c>
      <x:c r="B100" s="58" t="s">
        <x:v>269</x:v>
      </x:c>
      <x:c r="C100" s="59" t="s">
        <x:v>32</x:v>
      </x:c>
      <x:c r="D100" s="58" t="s">
        <x:v>33</x:v>
      </x:c>
      <x:c r="E100" s="58" t="s">
        <x:v>270</x:v>
      </x:c>
      <x:c r="F100" s="60"/>
      <x:c r="G100" s="60"/>
      <x:c r="H100" s="60"/>
      <x:c r="I100" s="60"/>
      <x:c r="J100" s="60"/>
      <x:c r="K100" s="61"/>
    </x:row>
    <x:row r="101" ht="19.5" customHeight="1">
      <x:c r="A101" s="40" t="s">
        <x:v>271</x:v>
      </x:c>
      <x:c r="B101" s="41"/>
      <x:c r="C101" s="42"/>
      <x:c r="D101" s="41"/>
      <x:c r="E101" s="41"/>
      <x:c r="F101" s="41"/>
      <x:c r="G101" s="41"/>
      <x:c r="H101" s="41"/>
      <x:c r="I101" s="41"/>
      <x:c r="J101" s="41"/>
      <x:c r="K101" s="43"/>
    </x:row>
    <x:row r="102" ht="43.5" customHeight="1">
      <x:c r="A102" s="44" t="s">
        <x:v>272</x:v>
      </x:c>
      <x:c r="B102" s="45" t="s">
        <x:v>273</x:v>
      </x:c>
      <x:c r="C102" s="46" t="s">
        <x:v>32</x:v>
      </x:c>
      <x:c r="D102" s="45" t="s">
        <x:v>274</x:v>
      </x:c>
      <x:c r="E102" s="45" t="s">
        <x:v>275</x:v>
      </x:c>
      <x:c r="F102" s="66" t="s">
        <x:v>76</x:v>
      </x:c>
      <x:c r="G102" s="48"/>
      <x:c r="H102" s="48"/>
      <x:c r="I102" s="48"/>
      <x:c r="J102" s="48"/>
      <x:c r="K102" s="49"/>
    </x:row>
    <x:row r="103" ht="43.5" customHeight="1">
      <x:c r="A103" s="50" t="s">
        <x:v>276</x:v>
      </x:c>
      <x:c r="B103" s="51" t="s">
        <x:v>277</x:v>
      </x:c>
      <x:c r="C103" s="52" t="s">
        <x:v>40</x:v>
      </x:c>
      <x:c r="D103" s="51" t="s">
        <x:v>274</x:v>
      </x:c>
      <x:c r="E103" s="51" t="s">
        <x:v>278</x:v>
      </x:c>
      <x:c r="F103" s="67" t="s">
        <x:v>76</x:v>
      </x:c>
      <x:c r="G103" s="54"/>
      <x:c r="H103" s="54"/>
      <x:c r="I103" s="54"/>
      <x:c r="J103" s="54"/>
      <x:c r="K103" s="55"/>
    </x:row>
    <x:row r="104" ht="43.5" customHeight="1">
      <x:c r="A104" s="50" t="s">
        <x:v>279</x:v>
      </x:c>
      <x:c r="B104" s="51" t="s">
        <x:v>280</x:v>
      </x:c>
      <x:c r="C104" s="52" t="s">
        <x:v>32</x:v>
      </x:c>
      <x:c r="D104" s="51" t="s">
        <x:v>281</x:v>
      </x:c>
      <x:c r="E104" s="51" t="s">
        <x:v>282</x:v>
      </x:c>
      <x:c r="F104" s="68" t="s">
        <x:v>76</x:v>
      </x:c>
      <x:c r="G104" s="54"/>
      <x:c r="H104" s="54"/>
      <x:c r="I104" s="54"/>
      <x:c r="J104" s="54"/>
      <x:c r="K104" s="55"/>
    </x:row>
    <x:row r="105" ht="43.5" customHeight="1">
      <x:c r="A105" s="50" t="s">
        <x:v>283</x:v>
      </x:c>
      <x:c r="B105" s="51" t="s">
        <x:v>284</x:v>
      </x:c>
      <x:c r="C105" s="52" t="s">
        <x:v>32</x:v>
      </x:c>
      <x:c r="D105" s="51" t="s">
        <x:v>281</x:v>
      </x:c>
      <x:c r="E105" s="51" t="s">
        <x:v>285</x:v>
      </x:c>
      <x:c r="F105" s="68" t="s">
        <x:v>76</x:v>
      </x:c>
      <x:c r="G105" s="54"/>
      <x:c r="H105" s="54"/>
      <x:c r="I105" s="54"/>
      <x:c r="J105" s="54"/>
      <x:c r="K105" s="55"/>
    </x:row>
    <x:row r="106" ht="43.5" customHeight="1">
      <x:c r="A106" s="50" t="s">
        <x:v>286</x:v>
      </x:c>
      <x:c r="B106" s="51" t="s">
        <x:v>287</x:v>
      </x:c>
      <x:c r="C106" s="52" t="s">
        <x:v>40</x:v>
      </x:c>
      <x:c r="D106" s="51" t="s">
        <x:v>112</x:v>
      </x:c>
      <x:c r="E106" s="51" t="s">
        <x:v>288</x:v>
      </x:c>
      <x:c r="F106" s="68" t="s">
        <x:v>76</x:v>
      </x:c>
      <x:c r="G106" s="54"/>
      <x:c r="H106" s="54"/>
      <x:c r="I106" s="54"/>
      <x:c r="J106" s="54"/>
      <x:c r="K106" s="55"/>
    </x:row>
    <x:row r="107" ht="43.5" customHeight="1">
      <x:c r="A107" s="50" t="s">
        <x:v>289</x:v>
      </x:c>
      <x:c r="B107" s="51" t="s">
        <x:v>290</x:v>
      </x:c>
      <x:c r="C107" s="52" t="s">
        <x:v>32</x:v>
      </x:c>
      <x:c r="D107" s="51" t="s">
        <x:v>112</x:v>
      </x:c>
      <x:c r="E107" s="51" t="s">
        <x:v>291</x:v>
      </x:c>
      <x:c r="F107" s="68" t="s">
        <x:v>76</x:v>
      </x:c>
      <x:c r="G107" s="54"/>
      <x:c r="H107" s="54"/>
      <x:c r="I107" s="54"/>
      <x:c r="J107" s="54"/>
      <x:c r="K107" s="55"/>
    </x:row>
    <x:row r="108" ht="43.5" customHeight="1">
      <x:c r="A108" s="50" t="s">
        <x:v>292</x:v>
      </x:c>
      <x:c r="B108" s="51" t="s">
        <x:v>293</x:v>
      </x:c>
      <x:c r="C108" s="52" t="s">
        <x:v>40</x:v>
      </x:c>
      <x:c r="D108" s="51" t="s">
        <x:v>33</x:v>
      </x:c>
      <x:c r="E108" s="51" t="s">
        <x:v>294</x:v>
      </x:c>
      <x:c r="F108" s="68" t="s">
        <x:v>76</x:v>
      </x:c>
      <x:c r="G108" s="54"/>
      <x:c r="H108" s="54"/>
      <x:c r="I108" s="54"/>
      <x:c r="J108" s="54"/>
      <x:c r="K108" s="55"/>
    </x:row>
    <x:row r="109" ht="43.5" customHeight="1">
      <x:c r="A109" s="57" t="s">
        <x:v>295</x:v>
      </x:c>
      <x:c r="B109" s="58" t="s">
        <x:v>296</x:v>
      </x:c>
      <x:c r="C109" s="59" t="s">
        <x:v>40</x:v>
      </x:c>
      <x:c r="D109" s="58" t="s">
        <x:v>281</x:v>
      </x:c>
      <x:c r="E109" s="58" t="s">
        <x:v>297</x:v>
      </x:c>
      <x:c r="F109" s="69" t="s">
        <x:v>76</x:v>
      </x:c>
      <x:c r="G109" s="60"/>
      <x:c r="H109" s="60"/>
      <x:c r="I109" s="60"/>
      <x:c r="J109" s="60"/>
      <x:c r="K109" s="61"/>
    </x:row>
    <x:row r="110" ht="19.5" customHeight="1">
      <x:c r="A110" s="40" t="s">
        <x:v>298</x:v>
      </x:c>
      <x:c r="B110" s="41"/>
      <x:c r="C110" s="42"/>
      <x:c r="D110" s="41"/>
      <x:c r="E110" s="41"/>
      <x:c r="F110" s="41"/>
      <x:c r="G110" s="41"/>
      <x:c r="H110" s="41"/>
      <x:c r="I110" s="41"/>
      <x:c r="J110" s="41"/>
      <x:c r="K110" s="43"/>
    </x:row>
    <x:row r="111" ht="43.5" customHeight="1">
      <x:c r="A111" s="44" t="s">
        <x:v>299</x:v>
      </x:c>
      <x:c r="B111" s="45" t="s">
        <x:v>300</x:v>
      </x:c>
      <x:c r="C111" s="46" t="s">
        <x:v>32</x:v>
      </x:c>
      <x:c r="D111" s="45" t="s">
        <x:v>116</x:v>
      </x:c>
      <x:c r="E111" s="45" t="s">
        <x:v>301</x:v>
      </x:c>
      <x:c r="F111" s="45" t="s">
        <x:v>16</x:v>
      </x:c>
      <x:c r="G111" s="48"/>
      <x:c r="H111" s="48"/>
      <x:c r="I111" s="48"/>
      <x:c r="J111" s="48"/>
      <x:c r="K111" s="49"/>
    </x:row>
    <x:row r="112" ht="43.5" customHeight="1">
      <x:c r="A112" s="50" t="s">
        <x:v>302</x:v>
      </x:c>
      <x:c r="B112" s="51" t="s">
        <x:v>303</x:v>
      </x:c>
      <x:c r="C112" s="52" t="s">
        <x:v>40</x:v>
      </x:c>
      <x:c r="D112" s="51" t="s">
        <x:v>33</x:v>
      </x:c>
      <x:c r="E112" s="51" t="s">
        <x:v>288</x:v>
      </x:c>
      <x:c r="F112" s="51" t="s">
        <x:v>16</x:v>
      </x:c>
      <x:c r="G112" s="54"/>
      <x:c r="H112" s="54"/>
      <x:c r="I112" s="54"/>
      <x:c r="J112" s="54"/>
      <x:c r="K112" s="55"/>
    </x:row>
    <x:row r="113" ht="43.5" customHeight="1">
      <x:c r="A113" s="50" t="s">
        <x:v>304</x:v>
      </x:c>
      <x:c r="B113" s="51" t="s">
        <x:v>305</x:v>
      </x:c>
      <x:c r="C113" s="52" t="s">
        <x:v>32</x:v>
      </x:c>
      <x:c r="D113" s="51" t="s">
        <x:v>33</x:v>
      </x:c>
      <x:c r="E113" s="51" t="s">
        <x:v>306</x:v>
      </x:c>
      <x:c r="F113" s="51" t="s">
        <x:v>16</x:v>
      </x:c>
      <x:c r="G113" s="54"/>
      <x:c r="H113" s="54"/>
      <x:c r="I113" s="54"/>
      <x:c r="J113" s="54"/>
      <x:c r="K113" s="55"/>
    </x:row>
    <x:row r="114" ht="43.5" customHeight="1">
      <x:c r="A114" s="50" t="s">
        <x:v>307</x:v>
      </x:c>
      <x:c r="B114" s="51" t="s">
        <x:v>308</x:v>
      </x:c>
      <x:c r="C114" s="52" t="s">
        <x:v>32</x:v>
      </x:c>
      <x:c r="D114" s="51" t="s">
        <x:v>33</x:v>
      </x:c>
      <x:c r="E114" s="51" t="s">
        <x:v>309</x:v>
      </x:c>
      <x:c r="F114" s="51" t="s">
        <x:v>16</x:v>
      </x:c>
      <x:c r="G114" s="54"/>
      <x:c r="H114" s="54"/>
      <x:c r="I114" s="54"/>
      <x:c r="J114" s="54"/>
      <x:c r="K114" s="55"/>
    </x:row>
    <x:row r="115" ht="43.5" customHeight="1">
      <x:c r="A115" s="50" t="s">
        <x:v>310</x:v>
      </x:c>
      <x:c r="B115" s="51" t="s">
        <x:v>311</x:v>
      </x:c>
      <x:c r="C115" s="52" t="s">
        <x:v>40</x:v>
      </x:c>
      <x:c r="D115" s="51" t="s">
        <x:v>103</x:v>
      </x:c>
      <x:c r="E115" s="51" t="s">
        <x:v>312</x:v>
      </x:c>
      <x:c r="F115" s="51" t="s">
        <x:v>16</x:v>
      </x:c>
      <x:c r="G115" s="54"/>
      <x:c r="H115" s="54"/>
      <x:c r="I115" s="54"/>
      <x:c r="J115" s="54"/>
      <x:c r="K115" s="55"/>
    </x:row>
    <x:row r="116" ht="43.5" customHeight="1">
      <x:c r="A116" s="50" t="s">
        <x:v>313</x:v>
      </x:c>
      <x:c r="B116" s="51" t="s">
        <x:v>314</x:v>
      </x:c>
      <x:c r="C116" s="52" t="s">
        <x:v>32</x:v>
      </x:c>
      <x:c r="D116" s="51" t="s">
        <x:v>116</x:v>
      </x:c>
      <x:c r="E116" s="51" t="s">
        <x:v>315</x:v>
      </x:c>
      <x:c r="F116" s="51" t="s">
        <x:v>16</x:v>
      </x:c>
      <x:c r="G116" s="54"/>
      <x:c r="H116" s="54"/>
      <x:c r="I116" s="54"/>
      <x:c r="J116" s="54"/>
      <x:c r="K116" s="55"/>
    </x:row>
    <x:row r="117" ht="43.5" customHeight="1">
      <x:c r="A117" s="57" t="s">
        <x:v>316</x:v>
      </x:c>
      <x:c r="B117" s="58" t="s">
        <x:v>317</x:v>
      </x:c>
      <x:c r="C117" s="59" t="s">
        <x:v>32</x:v>
      </x:c>
      <x:c r="D117" s="58" t="s">
        <x:v>112</x:v>
      </x:c>
      <x:c r="E117" s="58" t="s">
        <x:v>288</x:v>
      </x:c>
      <x:c r="F117" s="58" t="s">
        <x:v>16</x:v>
      </x:c>
      <x:c r="G117" s="60"/>
      <x:c r="H117" s="60"/>
      <x:c r="I117" s="60"/>
      <x:c r="J117" s="60"/>
      <x:c r="K117" s="61"/>
    </x:row>
    <x:row r="118" ht="19.5" customHeight="1">
      <x:c r="A118" s="40" t="s">
        <x:v>318</x:v>
      </x:c>
      <x:c r="B118" s="41"/>
      <x:c r="C118" s="42"/>
      <x:c r="D118" s="41"/>
      <x:c r="E118" s="41"/>
      <x:c r="F118" s="41"/>
      <x:c r="G118" s="41"/>
      <x:c r="H118" s="41"/>
      <x:c r="I118" s="41"/>
      <x:c r="J118" s="41"/>
      <x:c r="K118" s="43"/>
    </x:row>
    <x:row r="119" ht="43.5" customHeight="1">
      <x:c r="A119" s="44" t="s">
        <x:v>319</x:v>
      </x:c>
      <x:c r="B119" s="45" t="s">
        <x:v>320</x:v>
      </x:c>
      <x:c r="C119" s="46" t="s">
        <x:v>32</x:v>
      </x:c>
      <x:c r="D119" s="45" t="s">
        <x:v>274</x:v>
      </x:c>
      <x:c r="E119" s="45" t="s">
        <x:v>321</x:v>
      </x:c>
      <x:c r="F119" s="45" t="s">
        <x:v>16</x:v>
      </x:c>
      <x:c r="G119" s="48"/>
      <x:c r="H119" s="48"/>
      <x:c r="I119" s="48"/>
      <x:c r="J119" s="48"/>
      <x:c r="K119" s="49"/>
    </x:row>
    <x:row r="120" ht="43.5" customHeight="1">
      <x:c r="A120" s="50" t="s">
        <x:v>322</x:v>
      </x:c>
      <x:c r="B120" s="51" t="s">
        <x:v>323</x:v>
      </x:c>
      <x:c r="C120" s="52" t="s">
        <x:v>32</x:v>
      </x:c>
      <x:c r="D120" s="51" t="s">
        <x:v>274</x:v>
      </x:c>
      <x:c r="E120" s="51" t="s">
        <x:v>324</x:v>
      </x:c>
      <x:c r="F120" s="51" t="s">
        <x:v>16</x:v>
      </x:c>
      <x:c r="G120" s="54"/>
      <x:c r="H120" s="54"/>
      <x:c r="I120" s="54"/>
      <x:c r="J120" s="54"/>
      <x:c r="K120" s="55"/>
    </x:row>
    <x:row r="121" ht="43.5" customHeight="1">
      <x:c r="A121" s="50" t="s">
        <x:v>325</x:v>
      </x:c>
      <x:c r="B121" s="51" t="s">
        <x:v>326</x:v>
      </x:c>
      <x:c r="C121" s="52" t="s">
        <x:v>32</x:v>
      </x:c>
      <x:c r="D121" s="51" t="s">
        <x:v>112</x:v>
      </x:c>
      <x:c r="E121" s="51" t="s">
        <x:v>327</x:v>
      </x:c>
      <x:c r="F121" s="51" t="s">
        <x:v>16</x:v>
      </x:c>
      <x:c r="G121" s="54"/>
      <x:c r="H121" s="54"/>
      <x:c r="I121" s="54"/>
      <x:c r="J121" s="54"/>
      <x:c r="K121" s="55"/>
    </x:row>
    <x:row r="122" ht="43.5" customHeight="1">
      <x:c r="A122" s="50" t="s">
        <x:v>328</x:v>
      </x:c>
      <x:c r="B122" s="51" t="s">
        <x:v>329</x:v>
      </x:c>
      <x:c r="C122" s="52" t="s">
        <x:v>32</x:v>
      </x:c>
      <x:c r="D122" s="51" t="s">
        <x:v>112</x:v>
      </x:c>
      <x:c r="E122" s="51" t="s">
        <x:v>330</x:v>
      </x:c>
      <x:c r="F122" s="51" t="s">
        <x:v>16</x:v>
      </x:c>
      <x:c r="G122" s="54"/>
      <x:c r="H122" s="54"/>
      <x:c r="I122" s="54"/>
      <x:c r="J122" s="54"/>
      <x:c r="K122" s="55"/>
    </x:row>
    <x:row r="123" ht="43.5" customHeight="1">
      <x:c r="A123" s="50" t="s">
        <x:v>331</x:v>
      </x:c>
      <x:c r="B123" s="51" t="s">
        <x:v>332</x:v>
      </x:c>
      <x:c r="C123" s="52" t="s">
        <x:v>32</x:v>
      </x:c>
      <x:c r="D123" s="51" t="s">
        <x:v>281</x:v>
      </x:c>
      <x:c r="E123" s="51" t="s">
        <x:v>333</x:v>
      </x:c>
      <x:c r="F123" s="51" t="s">
        <x:v>16</x:v>
      </x:c>
      <x:c r="G123" s="54"/>
      <x:c r="H123" s="54"/>
      <x:c r="I123" s="54"/>
      <x:c r="J123" s="54"/>
      <x:c r="K123" s="55"/>
    </x:row>
    <x:row r="124" ht="43.5" customHeight="1">
      <x:c r="A124" s="57" t="s">
        <x:v>334</x:v>
      </x:c>
      <x:c r="B124" s="58" t="s">
        <x:v>335</x:v>
      </x:c>
      <x:c r="C124" s="59" t="s">
        <x:v>40</x:v>
      </x:c>
      <x:c r="D124" s="58" t="s">
        <x:v>112</x:v>
      </x:c>
      <x:c r="E124" s="58" t="s">
        <x:v>336</x:v>
      </x:c>
      <x:c r="F124" s="58" t="s">
        <x:v>16</x:v>
      </x:c>
      <x:c r="G124" s="60"/>
      <x:c r="H124" s="60"/>
      <x:c r="I124" s="60"/>
      <x:c r="J124" s="60"/>
      <x:c r="K124" s="61"/>
    </x:row>
    <x:row r="125" ht="19.5" customHeight="1">
      <x:c r="A125" s="40" t="s">
        <x:v>337</x:v>
      </x:c>
      <x:c r="B125" s="41"/>
      <x:c r="C125" s="42"/>
      <x:c r="D125" s="41"/>
      <x:c r="E125" s="41"/>
      <x:c r="F125" s="41"/>
      <x:c r="G125" s="41"/>
      <x:c r="H125" s="41"/>
      <x:c r="I125" s="41"/>
      <x:c r="J125" s="41"/>
      <x:c r="K125" s="43"/>
    </x:row>
    <x:row r="126" ht="43.5" customHeight="1">
      <x:c r="A126" s="44" t="s">
        <x:v>338</x:v>
      </x:c>
      <x:c r="B126" s="45" t="s">
        <x:v>339</x:v>
      </x:c>
      <x:c r="C126" s="46" t="s">
        <x:v>40</x:v>
      </x:c>
      <x:c r="D126" s="45" t="s">
        <x:v>33</x:v>
      </x:c>
      <x:c r="E126" s="45" t="s">
        <x:v>340</x:v>
      </x:c>
      <x:c r="F126" s="45" t="s">
        <x:v>16</x:v>
      </x:c>
      <x:c r="G126" s="48"/>
      <x:c r="H126" s="48"/>
      <x:c r="I126" s="48"/>
      <x:c r="J126" s="48"/>
      <x:c r="K126" s="49"/>
    </x:row>
    <x:row r="127" ht="43.5" customHeight="1">
      <x:c r="A127" s="50" t="s">
        <x:v>341</x:v>
      </x:c>
      <x:c r="B127" s="51" t="s">
        <x:v>342</x:v>
      </x:c>
      <x:c r="C127" s="52" t="s">
        <x:v>32</x:v>
      </x:c>
      <x:c r="D127" s="51" t="s">
        <x:v>33</x:v>
      </x:c>
      <x:c r="E127" s="51" t="s">
        <x:v>343</x:v>
      </x:c>
      <x:c r="F127" s="51" t="s">
        <x:v>16</x:v>
      </x:c>
      <x:c r="G127" s="54"/>
      <x:c r="H127" s="54"/>
      <x:c r="I127" s="54"/>
      <x:c r="J127" s="54"/>
      <x:c r="K127" s="55"/>
    </x:row>
    <x:row r="128" ht="43.5" customHeight="1">
      <x:c r="A128" s="57" t="s">
        <x:v>344</x:v>
      </x:c>
      <x:c r="B128" s="58" t="s">
        <x:v>345</x:v>
      </x:c>
      <x:c r="C128" s="59" t="s">
        <x:v>40</x:v>
      </x:c>
      <x:c r="D128" s="58" t="s">
        <x:v>33</x:v>
      </x:c>
      <x:c r="E128" s="58" t="s">
        <x:v>346</x:v>
      </x:c>
      <x:c r="F128" s="60"/>
      <x:c r="G128" s="60"/>
      <x:c r="H128" s="60"/>
      <x:c r="I128" s="60"/>
      <x:c r="J128" s="60"/>
      <x:c r="K128" s="61"/>
    </x:row>
    <x:row r="129" ht="19.5" customHeight="1">
      <x:c r="A129" s="40" t="s">
        <x:v>347</x:v>
      </x:c>
      <x:c r="B129" s="41"/>
      <x:c r="C129" s="42"/>
      <x:c r="D129" s="41"/>
      <x:c r="E129" s="41"/>
      <x:c r="F129" s="41"/>
      <x:c r="G129" s="41"/>
      <x:c r="H129" s="41"/>
      <x:c r="I129" s="41"/>
      <x:c r="J129" s="41"/>
      <x:c r="K129" s="43"/>
    </x:row>
    <x:row r="130" ht="43.5" customHeight="1">
      <x:c r="A130" s="44" t="s">
        <x:v>348</x:v>
      </x:c>
      <x:c r="B130" s="45" t="s">
        <x:v>349</x:v>
      </x:c>
      <x:c r="C130" s="46" t="s">
        <x:v>32</x:v>
      </x:c>
      <x:c r="D130" s="45" t="s">
        <x:v>103</x:v>
      </x:c>
      <x:c r="E130" s="45" t="s">
        <x:v>350</x:v>
      </x:c>
      <x:c r="F130" s="45" t="s">
        <x:v>16</x:v>
      </x:c>
      <x:c r="G130" s="48"/>
      <x:c r="H130" s="48"/>
      <x:c r="I130" s="48"/>
      <x:c r="J130" s="48"/>
      <x:c r="K130" s="49"/>
    </x:row>
    <x:row r="131" ht="43.5" customHeight="1">
      <x:c r="A131" s="50" t="s">
        <x:v>351</x:v>
      </x:c>
      <x:c r="B131" s="51" t="s">
        <x:v>352</x:v>
      </x:c>
      <x:c r="C131" s="52" t="s">
        <x:v>32</x:v>
      </x:c>
      <x:c r="D131" s="51" t="s">
        <x:v>33</x:v>
      </x:c>
      <x:c r="E131" s="51" t="s">
        <x:v>353</x:v>
      </x:c>
      <x:c r="F131" s="54"/>
      <x:c r="G131" s="54"/>
      <x:c r="H131" s="54"/>
      <x:c r="I131" s="54"/>
      <x:c r="J131" s="54"/>
      <x:c r="K131" s="55"/>
    </x:row>
    <x:row r="132" ht="43.5" customHeight="1">
      <x:c r="A132" s="50" t="s">
        <x:v>354</x:v>
      </x:c>
      <x:c r="B132" s="51" t="s">
        <x:v>355</x:v>
      </x:c>
      <x:c r="C132" s="52" t="s">
        <x:v>32</x:v>
      </x:c>
      <x:c r="D132" s="51" t="s">
        <x:v>274</x:v>
      </x:c>
      <x:c r="E132" s="51" t="s">
        <x:v>356</x:v>
      </x:c>
      <x:c r="F132" s="54"/>
      <x:c r="G132" s="54"/>
      <x:c r="H132" s="54"/>
      <x:c r="I132" s="54"/>
      <x:c r="J132" s="54"/>
      <x:c r="K132" s="55"/>
    </x:row>
    <x:row r="133" ht="43.5" customHeight="1">
      <x:c r="A133" s="70" t="s">
        <x:v>357</x:v>
      </x:c>
      <x:c r="B133" s="71" t="s">
        <x:v>358</x:v>
      </x:c>
      <x:c r="C133" s="72" t="s">
        <x:v>32</x:v>
      </x:c>
      <x:c r="D133" s="71" t="s">
        <x:v>33</x:v>
      </x:c>
      <x:c r="E133" s="71" t="s">
        <x:v>359</x:v>
      </x:c>
      <x:c r="F133" s="73"/>
      <x:c r="G133" s="73"/>
      <x:c r="H133" s="73"/>
      <x:c r="I133" s="73"/>
      <x:c r="J133" s="73"/>
      <x:c r="K133" s="74"/>
    </x:row>
  </x:sheetData>
  <x:mergeCells>
    <x:mergeCell ref="A2:K2"/>
    <x:mergeCell ref="A3:K3"/>
    <x:mergeCell ref="F4:G4"/>
    <x:mergeCell ref="H4:I4"/>
    <x:mergeCell ref="J4:K4"/>
    <x:mergeCell ref="A11:A12"/>
    <x:mergeCell ref="B11:B12"/>
    <x:mergeCell ref="C11:C12"/>
    <x:mergeCell ref="D11:D12"/>
    <x:mergeCell ref="E11:E12"/>
    <x:mergeCell ref="F11:G11"/>
    <x:mergeCell ref="H11:I11"/>
    <x:mergeCell ref="J11:K11"/>
  </x:mergeCells>
  <x:conditionalFormatting sqref="C14:C133">
    <x:cfRule type="cellIs" dxfId="0" priority="1" stopIfTrue="1" operator="equal">
      <x:formula>"P0"</x:formula>
    </x:cfRule>
    <x:cfRule type="cellIs" dxfId="1" priority="2" stopIfTrue="1" operator="equal">
      <x:formula>"P1"</x:formula>
    </x:cfRule>
    <x:cfRule type="cellIs" dxfId="2" priority="3" stopIfTrue="1" operator="equal">
      <x:formula>"P2"</x:formula>
    </x:cfRule>
  </x:conditionalFormatting>
  <x:conditionalFormatting sqref="F14:F18 F20:F28 F32:F37 F40:F40">
    <x:cfRule type="beginsWith" dxfId="3" priority="1" stopIfTrue="1" text="Pass">
      <x:formula>FIND(UPPER("Pass"),UPPER(F14))=1</x:formula>
      <x:formula>"Pass"</x:formula>
    </x:cfRule>
    <x:cfRule type="beginsWith" dxfId="4" priority="2" stopIfTrue="1" text="Fail">
      <x:formula>FIND(UPPER("Fail"),UPPER(F14))=1</x:formula>
      <x:formula>"Fail"</x:formula>
    </x:cfRule>
    <x:cfRule type="beginsWith" dxfId="5" priority="3" stopIfTrue="1" text="Blocked">
      <x:formula>FIND(UPPER("Blocked"),UPPER(F14))=1</x:formula>
      <x:formula>"Blocked"</x:formula>
    </x:cfRule>
    <x:cfRule type="beginsWith" dxfId="6" priority="4" stopIfTrue="1" text="Not run">
      <x:formula>FIND(UPPER("Not run"),UPPER(F14))=1</x:formula>
      <x:formula>"Not run"</x:formula>
    </x:cfRule>
  </x:conditionalFormatting>
  <x:conditionalFormatting sqref="G14:K18 F19:K19 G20:K28 F29:K31 G32:K37 F38:K39 G40:K40 F41:K67 G68:K68 F69:K74 G75:K75 F76:K77 G78:K78 F79:K101 G102:K109 F110:K133">
    <x:cfRule type="beginsWith" dxfId="7" priority="1" stopIfTrue="1" text="Pass">
      <x:formula>FIND(UPPER("Pass"),UPPER(G14))=1</x:formula>
      <x:formula>"Pass"</x:formula>
    </x:cfRule>
    <x:cfRule type="beginsWith" dxfId="8" priority="2" stopIfTrue="1" text="Fail">
      <x:formula>FIND(UPPER("Fail"),UPPER(G14))=1</x:formula>
      <x:formula>"Fail"</x:formula>
    </x:cfRule>
    <x:cfRule type="beginsWith" dxfId="9" priority="3" stopIfTrue="1" text="Blocked">
      <x:formula>FIND(UPPER("Blocked"),UPPER(G14))=1</x:formula>
      <x:formula>"Blocked"</x:formula>
    </x:cfRule>
    <x:cfRule type="beginsWith" dxfId="10" priority="4" stopIfTrue="1" text="Not run">
      <x:formula>FIND(UPPER("Not run"),UPPER(G14))=1</x:formula>
      <x:formula>"Not run"</x:formula>
    </x:cfRule>
  </x:conditionalFormatting>
  <x:conditionalFormatting sqref="F68:F68 F75:F75 F78:F78 F102:F109">
    <x:cfRule type="beginsWith" dxfId="11" priority="1" stopIfTrue="1" text="Pass">
      <x:formula>FIND(UPPER("Pass"),UPPER(F68))=1</x:formula>
      <x:formula>"Pass"</x:formula>
    </x:cfRule>
    <x:cfRule type="beginsWith" dxfId="12" priority="2" stopIfTrue="1" text="Fail">
      <x:formula>FIND(UPPER("Fail"),UPPER(F68))=1</x:formula>
      <x:formula>"Fail"</x:formula>
    </x:cfRule>
    <x:cfRule type="beginsWith" dxfId="13" priority="3" stopIfTrue="1" text="Blocked">
      <x:formula>FIND(UPPER("Blocked"),UPPER(F68))=1</x:formula>
      <x:formula>"Blocked"</x:formula>
    </x:cfRule>
    <x:cfRule type="beginsWith" dxfId="14" priority="4" stopIfTrue="1" text="Not run">
      <x:formula>FIND(UPPER("Not run"),UPPER(F68))=1</x:formula>
      <x:formula>"Not run"</x:formula>
    </x:cfRule>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8.833330154418945" defaultRowHeight="15"/>
  <x:cols>
    <x:col min="1" max="1" width="10.671899795532227" style="75" customWidth="1"/>
    <x:col min="2" max="4" width="11.671899795532227" style="75" customWidth="1"/>
    <x:col min="5" max="6" width="17.171899795532227" style="75" customWidth="1"/>
    <x:col min="7" max="7" width="11.671899795532227" style="75" customWidth="1"/>
    <x:col min="8" max="8" width="13.35159969329834" style="75" customWidth="1"/>
    <x:col min="9" max="9" width="15" style="75" customWidth="1"/>
    <x:col min="10" max="10" width="31.671899795532227" style="75" customWidth="1"/>
    <x:col min="11" max="16384" width="8.85155963897705" style="75" customWidth="1"/>
  </x:cols>
  <x:sheetData>
    <x:row r="1" ht="13.550000190734863" customHeight="1">
      <x:c r="A1" s="7"/>
      <x:c r="B1" s="8"/>
      <x:c r="C1" s="8"/>
      <x:c r="D1" s="8"/>
      <x:c r="E1" s="8"/>
      <x:c r="F1" s="8"/>
      <x:c r="G1" s="8"/>
      <x:c r="H1" s="8"/>
      <x:c r="I1" s="8"/>
      <x:c r="J1" s="9"/>
    </x:row>
    <x:row r="2" ht="22.5" customHeight="1">
      <x:c r="A2" s="10" t="s">
        <x:v>360</x:v>
      </x:c>
      <x:c r="B2" s="11"/>
      <x:c r="C2" s="11"/>
      <x:c r="D2" s="11"/>
      <x:c r="E2" s="11"/>
      <x:c r="F2" s="11"/>
      <x:c r="G2" s="11"/>
      <x:c r="H2" s="11"/>
      <x:c r="I2" s="11"/>
      <x:c r="J2" s="12"/>
    </x:row>
    <x:row r="3" ht="13.649999618530273" customHeight="1">
      <x:c r="A3" s="76" t="s">
        <x:v>361</x:v>
      </x:c>
      <x:c r="B3" s="77"/>
      <x:c r="C3" s="77"/>
      <x:c r="D3" s="77"/>
      <x:c r="E3" s="77"/>
      <x:c r="F3" s="77"/>
      <x:c r="G3" s="77"/>
      <x:c r="H3" s="77"/>
      <x:c r="I3" s="77"/>
      <x:c r="J3" s="78"/>
    </x:row>
    <x:row r="4" ht="13.550000190734863" customHeight="1">
      <x:c r="A4" s="16"/>
      <x:c r="B4" s="17"/>
      <x:c r="C4" s="17"/>
      <x:c r="D4" s="17"/>
      <x:c r="E4" s="17"/>
      <x:c r="F4" s="17"/>
      <x:c r="G4" s="17"/>
      <x:c r="H4" s="17"/>
      <x:c r="I4" s="17"/>
      <x:c r="J4" s="79"/>
    </x:row>
    <x:row r="5" ht="27" customHeight="1">
      <x:c r="A5" s="80" t="s">
        <x:v>362</x:v>
      </x:c>
      <x:c r="B5" s="81" t="s">
        <x:v>363</x:v>
      </x:c>
      <x:c r="C5" s="81" t="s">
        <x:v>364</x:v>
      </x:c>
      <x:c r="D5" s="81" t="s">
        <x:v>365</x:v>
      </x:c>
      <x:c r="E5" s="81" t="s">
        <x:v>366</x:v>
      </x:c>
      <x:c r="F5" s="81" t="s">
        <x:v>367</x:v>
      </x:c>
      <x:c r="G5" s="81" t="s">
        <x:v>368</x:v>
      </x:c>
      <x:c r="H5" s="81" t="s">
        <x:v>369</x:v>
      </x:c>
      <x:c r="I5" s="81" t="s">
        <x:v>370</x:v>
      </x:c>
      <x:c r="J5" s="82" t="s">
        <x:v>371</x:v>
      </x:c>
    </x:row>
    <x:row r="6" ht="33" customHeight="1">
      <x:c r="A6" s="83" t="s">
        <x:v>9</x:v>
      </x:c>
      <x:c r="B6" s="84"/>
      <x:c r="C6" s="85"/>
      <x:c r="D6" s="85"/>
      <x:c r="E6" s="83" t="s">
        <x:v>372</x:v>
      </x:c>
      <x:c r="F6" s="85"/>
      <x:c r="G6" s="85"/>
      <x:c r="H6" s="85"/>
      <x:c r="I6" s="85"/>
      <x:c r="J6" s="85"/>
    </x:row>
    <x:row r="7" ht="33" customHeight="1">
      <x:c r="A7" s="83" t="s">
        <x:v>10</x:v>
      </x:c>
      <x:c r="B7" s="84"/>
      <x:c r="C7" s="85"/>
      <x:c r="D7" s="85"/>
      <x:c r="E7" s="83" t="s">
        <x:v>373</x:v>
      </x:c>
      <x:c r="F7" s="85"/>
      <x:c r="G7" s="85"/>
      <x:c r="H7" s="85"/>
      <x:c r="I7" s="85"/>
      <x:c r="J7" s="85"/>
    </x:row>
    <x:row r="8" ht="33" customHeight="1">
      <x:c r="A8" s="83" t="s">
        <x:v>11</x:v>
      </x:c>
      <x:c r="B8" s="84"/>
      <x:c r="C8" s="85"/>
      <x:c r="D8" s="85"/>
      <x:c r="E8" s="83" t="s">
        <x:v>374</x:v>
      </x:c>
      <x:c r="F8" s="85"/>
      <x:c r="G8" s="85"/>
      <x:c r="H8" s="85"/>
      <x:c r="I8" s="85"/>
      <x:c r="J8" s="85"/>
    </x:row>
    <x:row r="9" ht="33" customHeight="1">
      <x:c r="A9" s="85"/>
      <x:c r="B9" s="84"/>
      <x:c r="C9" s="85"/>
      <x:c r="D9" s="85"/>
      <x:c r="E9" s="85"/>
      <x:c r="F9" s="85"/>
      <x:c r="G9" s="85"/>
      <x:c r="H9" s="85"/>
      <x:c r="I9" s="85"/>
      <x:c r="J9" s="85"/>
    </x:row>
    <x:row r="10" ht="33" customHeight="1">
      <x:c r="A10" s="85"/>
      <x:c r="B10" s="84"/>
      <x:c r="C10" s="85"/>
      <x:c r="D10" s="85"/>
      <x:c r="E10" s="85"/>
      <x:c r="F10" s="85"/>
      <x:c r="G10" s="85"/>
      <x:c r="H10" s="85"/>
      <x:c r="I10" s="85"/>
      <x:c r="J10" s="85"/>
    </x:row>
    <x:row r="11" ht="33" customHeight="1">
      <x:c r="A11" s="85"/>
      <x:c r="B11" s="84"/>
      <x:c r="C11" s="85"/>
      <x:c r="D11" s="85"/>
      <x:c r="E11" s="85"/>
      <x:c r="F11" s="85"/>
      <x:c r="G11" s="85"/>
      <x:c r="H11" s="85"/>
      <x:c r="I11" s="85"/>
      <x:c r="J11" s="85"/>
    </x:row>
    <x:row r="12" ht="33" customHeight="1">
      <x:c r="A12" s="85"/>
      <x:c r="B12" s="84"/>
      <x:c r="C12" s="85"/>
      <x:c r="D12" s="85"/>
      <x:c r="E12" s="85"/>
      <x:c r="F12" s="85"/>
      <x:c r="G12" s="85"/>
      <x:c r="H12" s="85"/>
      <x:c r="I12" s="85"/>
      <x:c r="J12" s="85"/>
    </x:row>
    <x:row r="13" ht="33" customHeight="1">
      <x:c r="A13" s="85"/>
      <x:c r="B13" s="84"/>
      <x:c r="C13" s="85"/>
      <x:c r="D13" s="85"/>
      <x:c r="E13" s="85"/>
      <x:c r="F13" s="85"/>
      <x:c r="G13" s="85"/>
      <x:c r="H13" s="85"/>
      <x:c r="I13" s="85"/>
      <x:c r="J13" s="85"/>
    </x:row>
    <x:row r="14" ht="33" customHeight="1">
      <x:c r="A14" s="85"/>
      <x:c r="B14" s="84"/>
      <x:c r="C14" s="85"/>
      <x:c r="D14" s="85"/>
      <x:c r="E14" s="85"/>
      <x:c r="F14" s="85"/>
      <x:c r="G14" s="85"/>
      <x:c r="H14" s="85"/>
      <x:c r="I14" s="85"/>
      <x:c r="J14" s="85"/>
    </x:row>
    <x:row r="15" ht="33" customHeight="1">
      <x:c r="A15" s="85"/>
      <x:c r="B15" s="84"/>
      <x:c r="C15" s="85"/>
      <x:c r="D15" s="85"/>
      <x:c r="E15" s="85"/>
      <x:c r="F15" s="85"/>
      <x:c r="G15" s="85"/>
      <x:c r="H15" s="85"/>
      <x:c r="I15" s="85"/>
      <x:c r="J15" s="85"/>
    </x:row>
    <x:row r="16" ht="33" customHeight="1">
      <x:c r="A16" s="85"/>
      <x:c r="B16" s="84"/>
      <x:c r="C16" s="85"/>
      <x:c r="D16" s="85"/>
      <x:c r="E16" s="85"/>
      <x:c r="F16" s="85"/>
      <x:c r="G16" s="85"/>
      <x:c r="H16" s="85"/>
      <x:c r="I16" s="85"/>
      <x:c r="J16" s="85"/>
    </x:row>
    <x:row r="17" ht="33" customHeight="1">
      <x:c r="A17" s="85"/>
      <x:c r="B17" s="84"/>
      <x:c r="C17" s="85"/>
      <x:c r="D17" s="85"/>
      <x:c r="E17" s="85"/>
      <x:c r="F17" s="85"/>
      <x:c r="G17" s="85"/>
      <x:c r="H17" s="85"/>
      <x:c r="I17" s="85"/>
      <x:c r="J17" s="85"/>
    </x:row>
    <x:row r="18" ht="13.550000190734863" customHeight="1">
      <x:c r="A18" s="86"/>
      <x:c r="B18" s="87"/>
      <x:c r="C18" s="87"/>
      <x:c r="D18" s="87"/>
      <x:c r="E18" s="87"/>
      <x:c r="F18" s="87"/>
      <x:c r="G18" s="87"/>
      <x:c r="H18" s="87"/>
      <x:c r="I18" s="87"/>
      <x:c r="J18" s="88"/>
    </x:row>
    <x:row r="19" ht="13.550000190734863" customHeight="1">
      <x:c r="A19" s="16"/>
      <x:c r="B19" s="17"/>
      <x:c r="C19" s="17"/>
      <x:c r="D19" s="17"/>
      <x:c r="E19" s="17"/>
      <x:c r="F19" s="17"/>
      <x:c r="G19" s="17"/>
      <x:c r="H19" s="17"/>
      <x:c r="I19" s="17"/>
      <x:c r="J19" s="79"/>
    </x:row>
    <x:row r="20" ht="14.600000381469727" customHeight="1">
      <x:c r="A20" s="89" t="s">
        <x:v>375</x:v>
      </x:c>
      <x:c r="B20" s="90"/>
      <x:c r="C20" s="90"/>
      <x:c r="D20" s="90"/>
      <x:c r="E20" s="90"/>
      <x:c r="F20" s="90"/>
      <x:c r="G20" s="90"/>
      <x:c r="H20" s="90"/>
      <x:c r="I20" s="90"/>
      <x:c r="J20" s="91"/>
    </x:row>
    <x:row r="21" ht="13.550000190734863" customHeight="1">
      <x:c r="A21" s="16"/>
      <x:c r="B21" s="17"/>
      <x:c r="C21" s="17"/>
      <x:c r="D21" s="17"/>
      <x:c r="E21" s="17"/>
      <x:c r="F21" s="17"/>
      <x:c r="G21" s="17"/>
      <x:c r="H21" s="17"/>
      <x:c r="I21" s="17"/>
      <x:c r="J21" s="79"/>
    </x:row>
    <x:row r="22" ht="13.649999618530273" customHeight="1">
      <x:c r="A22" s="92" t="s">
        <x:v>376</x:v>
      </x:c>
      <x:c r="B22" s="93" t="s">
        <x:v>377</x:v>
      </x:c>
      <x:c r="C22" s="94"/>
      <x:c r="D22" s="93" t="s">
        <x:v>378</x:v>
      </x:c>
      <x:c r="E22" s="94"/>
      <x:c r="F22" s="94"/>
      <x:c r="G22" s="94"/>
      <x:c r="H22" s="94"/>
      <x:c r="I22" s="94"/>
      <x:c r="J22" s="95"/>
    </x:row>
    <x:row r="23" ht="39" customHeight="1">
      <x:c r="A23" s="83" t="s">
        <x:v>379</x:v>
      </x:c>
      <x:c r="B23" s="83" t="s">
        <x:v>380</x:v>
      </x:c>
      <x:c r="C23" s="85"/>
      <x:c r="D23" s="83" t="s">
        <x:v>381</x:v>
      </x:c>
      <x:c r="E23" s="85"/>
      <x:c r="F23" s="85"/>
      <x:c r="G23" s="85"/>
      <x:c r="H23" s="85"/>
      <x:c r="I23" s="85"/>
      <x:c r="J23" s="85"/>
    </x:row>
    <x:row r="24" ht="39" customHeight="1">
      <x:c r="A24" s="83" t="s">
        <x:v>382</x:v>
      </x:c>
      <x:c r="B24" s="83" t="s">
        <x:v>383</x:v>
      </x:c>
      <x:c r="C24" s="85"/>
      <x:c r="D24" s="83" t="s">
        <x:v>384</x:v>
      </x:c>
      <x:c r="E24" s="85"/>
      <x:c r="F24" s="85"/>
      <x:c r="G24" s="85"/>
      <x:c r="H24" s="85"/>
      <x:c r="I24" s="85"/>
      <x:c r="J24" s="85"/>
    </x:row>
    <x:row r="25" ht="39" customHeight="1">
      <x:c r="A25" s="83" t="s">
        <x:v>385</x:v>
      </x:c>
      <x:c r="B25" s="83" t="s">
        <x:v>386</x:v>
      </x:c>
      <x:c r="C25" s="85"/>
      <x:c r="D25" s="83" t="s">
        <x:v>387</x:v>
      </x:c>
      <x:c r="E25" s="85"/>
      <x:c r="F25" s="85"/>
      <x:c r="G25" s="85"/>
      <x:c r="H25" s="85"/>
      <x:c r="I25" s="85"/>
      <x:c r="J25" s="85"/>
    </x:row>
    <x:row r="26" ht="39" customHeight="1">
      <x:c r="A26" s="83" t="s">
        <x:v>388</x:v>
      </x:c>
      <x:c r="B26" s="83" t="s">
        <x:v>389</x:v>
      </x:c>
      <x:c r="C26" s="85"/>
      <x:c r="D26" s="83" t="s">
        <x:v>390</x:v>
      </x:c>
      <x:c r="E26" s="85"/>
      <x:c r="F26" s="85"/>
      <x:c r="G26" s="85"/>
      <x:c r="H26" s="85"/>
      <x:c r="I26" s="85"/>
      <x:c r="J26" s="85"/>
    </x:row>
  </x:sheetData>
  <x:mergeCells>
    <x:mergeCell ref="A2:J2"/>
    <x:mergeCell ref="A3:J3"/>
    <x:mergeCell ref="A20:J20"/>
    <x:mergeCell ref="B22:C22"/>
    <x:mergeCell ref="D22:J22"/>
    <x:mergeCell ref="B23:C23"/>
    <x:mergeCell ref="D23:J23"/>
    <x:mergeCell ref="B24:C24"/>
    <x:mergeCell ref="D24:J24"/>
    <x:mergeCell ref="B25:C25"/>
    <x:mergeCell ref="D25:J25"/>
    <x:mergeCell ref="B26:C26"/>
    <x:mergeCell ref="D26:J26"/>
  </x:mergeCells>
  <x:conditionalFormatting sqref="I6:I17">
    <x:cfRule type="containsText" dxfId="15" priority="1" stopIfTrue="1" text="Pass">
      <x:formula>NOT(ISERROR(FIND(UPPER("Pass"),UPPER(I6))))</x:formula>
      <x:formula>"Pass"</x:formula>
    </x:cfRule>
    <x:cfRule type="containsText" dxfId="16" priority="2" stopIfTrue="1" text="Fail">
      <x:formula>NOT(ISERROR(FIND(UPPER("Fail"),UPPER(I6))))</x:formula>
      <x:formula>"Fail"</x:formula>
    </x:cfRule>
    <x:cfRule type="containsText" dxfId="17" priority="3" stopIfTrue="1" text="Blocked">
      <x:formula>NOT(ISERROR(FIND(UPPER("Blocked"),UPPER(I6))))</x:formula>
      <x:formula>"Blocked"</x:formula>
    </x:cfRule>
  </x:conditionalFormatting>
  <x:dataValidations count="1">
    <x:dataValidation type="list" allowBlank="1" showInputMessage="1" showErrorMessage="1" sqref="I6:I17">
      <x:formula1>"Pass,Pass with notes,Fail,Blocked,In progress"</x:formula1>
    </x:dataValidation>
  </x:dataValidations>
  <x:pageMargins left="0.7" right="0.7" top="0.75" bottom="0.75" header="0.3" footer="0.3"/>
</x:worksheet>
</file>